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\Downloads\"/>
    </mc:Choice>
  </mc:AlternateContent>
  <xr:revisionPtr revIDLastSave="0" documentId="8_{6BB20769-7FA5-48C9-99DA-6238C76C0B5E}" xr6:coauthVersionLast="47" xr6:coauthVersionMax="47" xr10:uidLastSave="{00000000-0000-0000-0000-000000000000}"/>
  <bookViews>
    <workbookView xWindow="-108" yWindow="-108" windowWidth="23256" windowHeight="12456" xr2:uid="{42B91475-B680-4D97-BCB5-7843EF356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2" i="1"/>
</calcChain>
</file>

<file path=xl/sharedStrings.xml><?xml version="1.0" encoding="utf-8"?>
<sst xmlns="http://schemas.openxmlformats.org/spreadsheetml/2006/main" count="459" uniqueCount="223">
  <si>
    <t>Movie Name</t>
  </si>
  <si>
    <t>Industry</t>
  </si>
  <si>
    <t>Release Year</t>
  </si>
  <si>
    <t xml:space="preserve">Box Office Collection </t>
  </si>
  <si>
    <t xml:space="preserve">Lead Actor </t>
  </si>
  <si>
    <t xml:space="preserve">Genre </t>
  </si>
  <si>
    <t xml:space="preserve">Budget  </t>
  </si>
  <si>
    <t xml:space="preserve">IMDb  Rating </t>
  </si>
  <si>
    <t>Success Status</t>
  </si>
  <si>
    <t>Kayamkulam Kochunni</t>
  </si>
  <si>
    <t>Odiyan</t>
  </si>
  <si>
    <t>Aadhi</t>
  </si>
  <si>
    <t>Njan Prakashan</t>
  </si>
  <si>
    <t>Sudani from Nigeria</t>
  </si>
  <si>
    <t>Varathan</t>
  </si>
  <si>
    <t>Oru Pazhaya Bomb Kadha</t>
  </si>
  <si>
    <t>Rosapoo</t>
  </si>
  <si>
    <t>Kammaara Sambhavam</t>
  </si>
  <si>
    <t>Neerali</t>
  </si>
  <si>
    <t>Lucifer</t>
  </si>
  <si>
    <t>Kumbalangi Nights</t>
  </si>
  <si>
    <t>Thanneer Mathan Dinangal</t>
  </si>
  <si>
    <t>Uyare</t>
  </si>
  <si>
    <t>Mamangam</t>
  </si>
  <si>
    <t>Jack &amp; Daniel</t>
  </si>
  <si>
    <t>Brother's Day</t>
  </si>
  <si>
    <t>Anjaam Pathiraa</t>
  </si>
  <si>
    <t>Ayyappanum Koshiyum</t>
  </si>
  <si>
    <t>C U Soon</t>
  </si>
  <si>
    <t>Shylock</t>
  </si>
  <si>
    <t>Forensic</t>
  </si>
  <si>
    <t>Big Brother</t>
  </si>
  <si>
    <t>Trance</t>
  </si>
  <si>
    <t>Dhamaka</t>
  </si>
  <si>
    <t>Gauthamante Radham</t>
  </si>
  <si>
    <t>Drishyam 2</t>
  </si>
  <si>
    <t>Minnal Murali</t>
  </si>
  <si>
    <t>Kurup</t>
  </si>
  <si>
    <t>Marakkar: Lion of the Arabian Sea</t>
  </si>
  <si>
    <t>One</t>
  </si>
  <si>
    <t>The Priest</t>
  </si>
  <si>
    <t>Cold Case</t>
  </si>
  <si>
    <t>Bhramam</t>
  </si>
  <si>
    <t>Bheeshma Parvam</t>
  </si>
  <si>
    <t>Hridayam</t>
  </si>
  <si>
    <t>Thallumaala</t>
  </si>
  <si>
    <t>Rorschach</t>
  </si>
  <si>
    <t>Gold</t>
  </si>
  <si>
    <t>CBI 5: The Brain</t>
  </si>
  <si>
    <t>Monster</t>
  </si>
  <si>
    <t>Aaraattu</t>
  </si>
  <si>
    <t>Malayankunju</t>
  </si>
  <si>
    <t>Neru</t>
  </si>
  <si>
    <t>Kannur Squad</t>
  </si>
  <si>
    <t>Romancham</t>
  </si>
  <si>
    <t>King of Kotha</t>
  </si>
  <si>
    <t>Christopher</t>
  </si>
  <si>
    <t>Dhoomam</t>
  </si>
  <si>
    <t>Manjummel Boys</t>
  </si>
  <si>
    <t>The Goat Life</t>
  </si>
  <si>
    <t>Aavesham</t>
  </si>
  <si>
    <t>Premalu</t>
  </si>
  <si>
    <t>ARM</t>
  </si>
  <si>
    <t>Turbo</t>
  </si>
  <si>
    <t>Barroz</t>
  </si>
  <si>
    <t>Lokah Chapter One: Chandra</t>
  </si>
  <si>
    <t>Thudarum</t>
  </si>
  <si>
    <t>L2: Empuraan</t>
  </si>
  <si>
    <t>Dies Irae</t>
  </si>
  <si>
    <t>Sarvam Maya</t>
  </si>
  <si>
    <t>Kalamkaval</t>
  </si>
  <si>
    <t>Hridayapoorvam</t>
  </si>
  <si>
    <t>Bazooka</t>
  </si>
  <si>
    <t>Drishyam 3</t>
  </si>
  <si>
    <t>Vaazha II: Biopic of a Billion Bros</t>
  </si>
  <si>
    <t>Aadu 3</t>
  </si>
  <si>
    <t>Athiradi</t>
  </si>
  <si>
    <t>Balan: The Boy</t>
  </si>
  <si>
    <t>Patriot</t>
  </si>
  <si>
    <t>Pallichattambi</t>
  </si>
  <si>
    <t>Mollywood Times</t>
  </si>
  <si>
    <t>Prakambanam</t>
  </si>
  <si>
    <t>Nivin Pauly</t>
  </si>
  <si>
    <t>Fahadh Faasil</t>
  </si>
  <si>
    <t>Pranav Mohanlal</t>
  </si>
  <si>
    <t>Soubin Shahir</t>
  </si>
  <si>
    <t>Mohanlal</t>
  </si>
  <si>
    <t>Bibin George</t>
  </si>
  <si>
    <t>Biju Menon</t>
  </si>
  <si>
    <t>Dileep</t>
  </si>
  <si>
    <t>Shane Nigam</t>
  </si>
  <si>
    <t>Vineeth Sreenivasan</t>
  </si>
  <si>
    <t>Parvathy</t>
  </si>
  <si>
    <t>Mammootty</t>
  </si>
  <si>
    <t>Prithviraj</t>
  </si>
  <si>
    <t>Kunchacko Boban</t>
  </si>
  <si>
    <t>Tovino Thomas</t>
  </si>
  <si>
    <t>Ensemble</t>
  </si>
  <si>
    <t>Neeraj Madhav</t>
  </si>
  <si>
    <t>Dulquer Salmaan</t>
  </si>
  <si>
    <t>Naslen</t>
  </si>
  <si>
    <t>Kalyani Priyadarshan</t>
  </si>
  <si>
    <t>Jayasurya</t>
  </si>
  <si>
    <t>Malayalam</t>
  </si>
  <si>
    <t>Period Action</t>
  </si>
  <si>
    <t>Satirical Comedy</t>
  </si>
  <si>
    <t>Action Thriller</t>
  </si>
  <si>
    <t>Sports Drama</t>
  </si>
  <si>
    <t>Survival Thriller</t>
  </si>
  <si>
    <t>Fantasy Drama</t>
  </si>
  <si>
    <t>Comedy</t>
  </si>
  <si>
    <t>Black Comedy</t>
  </si>
  <si>
    <t>Satirical Drama</t>
  </si>
  <si>
    <t>Drama Thriller</t>
  </si>
  <si>
    <t>Political Action</t>
  </si>
  <si>
    <t>Drama</t>
  </si>
  <si>
    <t>Coming-of-Age</t>
  </si>
  <si>
    <t>Action Comedy</t>
  </si>
  <si>
    <t>Crime Thriller</t>
  </si>
  <si>
    <t>Action Drama</t>
  </si>
  <si>
    <t>Screenlife Mystery</t>
  </si>
  <si>
    <t>Action / Masala</t>
  </si>
  <si>
    <t>Mystery Thriller</t>
  </si>
  <si>
    <t>Psychological Drama</t>
  </si>
  <si>
    <t>Comedy Drama</t>
  </si>
  <si>
    <t>Superhero Comedy</t>
  </si>
  <si>
    <t>Historical War</t>
  </si>
  <si>
    <t>Political Drama</t>
  </si>
  <si>
    <t>Horror Thriller</t>
  </si>
  <si>
    <t>Mystery Horror</t>
  </si>
  <si>
    <t>Gangster Drama</t>
  </si>
  <si>
    <t>Psychological Thriller</t>
  </si>
  <si>
    <t>Comedy Thriller</t>
  </si>
  <si>
    <t>Survival Drama</t>
  </si>
  <si>
    <t>Disaster Drama</t>
  </si>
  <si>
    <t xml:space="preserve"> Courtroom Drama</t>
  </si>
  <si>
    <t>Horror Comedy</t>
  </si>
  <si>
    <t>Action / Gangster</t>
  </si>
  <si>
    <t>Vigilante Action</t>
  </si>
  <si>
    <t>Suspense Thriller</t>
  </si>
  <si>
    <t>Rom-Com</t>
  </si>
  <si>
    <t>Fantasy Adventure</t>
  </si>
  <si>
    <t>Superhero Action</t>
  </si>
  <si>
    <t>Family Drama</t>
  </si>
  <si>
    <t>Slapstick Comedy</t>
  </si>
  <si>
    <t>Slow-Burn Thriller</t>
  </si>
  <si>
    <t>Spy Action Thriller</t>
  </si>
  <si>
    <t>2.27x</t>
  </si>
  <si>
    <t>10.40x</t>
  </si>
  <si>
    <t>5.83x</t>
  </si>
  <si>
    <t>12.00x</t>
  </si>
  <si>
    <t>4.71x</t>
  </si>
  <si>
    <t>1.08x</t>
  </si>
  <si>
    <t>0.67x</t>
  </si>
  <si>
    <t>0.40x</t>
  </si>
  <si>
    <t>0.70x</t>
  </si>
  <si>
    <t>0.41x</t>
  </si>
  <si>
    <t>4.30x</t>
  </si>
  <si>
    <t>9.75x</t>
  </si>
  <si>
    <t>33.33x</t>
  </si>
  <si>
    <t>5.50x</t>
  </si>
  <si>
    <t>2.18x</t>
  </si>
  <si>
    <t>0.30x</t>
  </si>
  <si>
    <t>6.25x</t>
  </si>
  <si>
    <t>6.00x</t>
  </si>
  <si>
    <t>2.80x</t>
  </si>
  <si>
    <t>3.25x</t>
  </si>
  <si>
    <t>0.38x</t>
  </si>
  <si>
    <t>0.63x</t>
  </si>
  <si>
    <t>Hit</t>
  </si>
  <si>
    <t>Blockbuster</t>
  </si>
  <si>
    <t>Average</t>
  </si>
  <si>
    <t>Flop</t>
  </si>
  <si>
    <t>3.00x</t>
  </si>
  <si>
    <t>2.75x</t>
  </si>
  <si>
    <t>2.31x</t>
  </si>
  <si>
    <t>0.45x</t>
  </si>
  <si>
    <t>1.20x</t>
  </si>
  <si>
    <t>0.71x</t>
  </si>
  <si>
    <t>5.87x</t>
  </si>
  <si>
    <t>7.86x</t>
  </si>
  <si>
    <t>3.94x</t>
  </si>
  <si>
    <t>2.60x</t>
  </si>
  <si>
    <t>0.73x</t>
  </si>
  <si>
    <t>1.28x</t>
  </si>
  <si>
    <t>0.60x</t>
  </si>
  <si>
    <t>0.72x</t>
  </si>
  <si>
    <t>0.75x</t>
  </si>
  <si>
    <t>6.92x</t>
  </si>
  <si>
    <t>8.60x</t>
  </si>
  <si>
    <t>3.28x</t>
  </si>
  <si>
    <t>20.00x</t>
  </si>
  <si>
    <t>0.74x</t>
  </si>
  <si>
    <t>0.55x</t>
  </si>
  <si>
    <t>12.12x</t>
  </si>
  <si>
    <t>1.98x</t>
  </si>
  <si>
    <t>5.20x</t>
  </si>
  <si>
    <t>45.43x</t>
  </si>
  <si>
    <t>3.56x</t>
  </si>
  <si>
    <t>1.17x</t>
  </si>
  <si>
    <t>0.21x</t>
  </si>
  <si>
    <t>13.22x</t>
  </si>
  <si>
    <t>2.98x</t>
  </si>
  <si>
    <t>3.42x</t>
  </si>
  <si>
    <t>6.95x</t>
  </si>
  <si>
    <t>2.84x</t>
  </si>
  <si>
    <t>2.17x</t>
  </si>
  <si>
    <t>0.48x</t>
  </si>
  <si>
    <t>6.82x</t>
  </si>
  <si>
    <t>29.31x</t>
  </si>
  <si>
    <t>8.01x</t>
  </si>
  <si>
    <t>0.57x</t>
  </si>
  <si>
    <t>1.42x</t>
  </si>
  <si>
    <t>0.92x</t>
  </si>
  <si>
    <t xml:space="preserve">Average </t>
  </si>
  <si>
    <t>Mega Blockbuster</t>
  </si>
  <si>
    <t xml:space="preserve">Cost per imdb Point </t>
  </si>
  <si>
    <t>Profit/Loss</t>
  </si>
  <si>
    <t>Star Power Tier</t>
  </si>
  <si>
    <t xml:space="preserve">ROI Multiple </t>
  </si>
  <si>
    <t>Awards/Recognition</t>
  </si>
  <si>
    <t>Yes</t>
  </si>
  <si>
    <t>Market 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</si>
</sst>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164" fontId="0" fillId="0" borderId="0" xfId="0" applyNumberFormat="1"/>
    <xf numFmtId="0" fontId="0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5FD1-236F-4A8D-BB0C-C5D922242CF3}">
  <dimension ref="A1:O75"/>
  <sheetViews>
    <sheetView tabSelected="1" zoomScale="80" zoomScaleNormal="80" workbookViewId="0">
      <selection activeCell="O77" sqref="O77"/>
    </sheetView>
  </sheetViews>
  <sheetFormatPr defaultRowHeight="14.4" x14ac:dyDescent="0.3"/>
  <cols>
    <col min="1" max="1" width="28.33203125" customWidth="1"/>
    <col min="2" max="2" width="15.88671875" customWidth="1"/>
    <col min="3" max="3" width="12.77734375" customWidth="1"/>
    <col min="4" max="4" width="12" customWidth="1"/>
    <col min="5" max="5" width="18" customWidth="1"/>
    <col min="6" max="6" width="15.6640625" customWidth="1"/>
    <col min="7" max="7" width="18.5546875" customWidth="1"/>
    <col min="8" max="8" width="16.88671875" customWidth="1"/>
    <col min="9" max="9" width="12.44140625" customWidth="1"/>
    <col min="10" max="10" width="18.44140625" customWidth="1"/>
    <col min="11" max="11" width="17.88671875" customWidth="1"/>
    <col min="12" max="12" width="12.44140625" customWidth="1"/>
    <col min="13" max="13" width="17.88671875" customWidth="1"/>
    <col min="14" max="14" width="18.33203125" customWidth="1"/>
    <col min="15" max="15" width="23.109375" customWidth="1"/>
  </cols>
  <sheetData>
    <row r="1" spans="1:15" x14ac:dyDescent="0.3">
      <c r="A1" s="1" t="s">
        <v>0</v>
      </c>
      <c r="B1" s="6" t="s">
        <v>4</v>
      </c>
      <c r="C1" s="6" t="s">
        <v>1</v>
      </c>
      <c r="D1" s="6" t="s">
        <v>2</v>
      </c>
      <c r="E1" s="6" t="s">
        <v>5</v>
      </c>
      <c r="F1" s="6" t="s">
        <v>6</v>
      </c>
      <c r="G1" s="6" t="s">
        <v>3</v>
      </c>
      <c r="H1" s="6" t="s">
        <v>7</v>
      </c>
      <c r="I1" s="6" t="s">
        <v>219</v>
      </c>
      <c r="J1" s="6" t="s">
        <v>8</v>
      </c>
      <c r="K1" s="6" t="s">
        <v>216</v>
      </c>
      <c r="L1" s="6" t="s">
        <v>217</v>
      </c>
      <c r="M1" s="6" t="s">
        <v>218</v>
      </c>
      <c r="N1" s="6" t="s">
        <v>220</v>
      </c>
      <c r="O1" s="1" t="s">
        <v>222</v>
      </c>
    </row>
    <row r="2" spans="1:15" x14ac:dyDescent="0.3">
      <c r="A2" t="s">
        <v>9</v>
      </c>
      <c r="B2" t="s">
        <v>82</v>
      </c>
      <c r="C2" t="s">
        <v>103</v>
      </c>
      <c r="D2">
        <v>2018</v>
      </c>
      <c r="E2" t="s">
        <v>104</v>
      </c>
      <c r="F2" s="3">
        <v>45</v>
      </c>
      <c r="G2" s="3">
        <v>102</v>
      </c>
      <c r="H2" s="3">
        <v>7</v>
      </c>
      <c r="I2" t="s">
        <v>147</v>
      </c>
      <c r="J2" t="s">
        <v>169</v>
      </c>
      <c r="K2" s="5">
        <v>6.43</v>
      </c>
      <c r="L2" s="3">
        <f>G2-F2</f>
        <v>57</v>
      </c>
      <c r="M2" t="str">
        <f>IF(OR(B2="Mammootty", B2="Mohanlal", B2="Fahadh Faasil", B2="Dulquer Salmaan"), "Tier 1", IF(OR(B2="Tovino Thomas", B2="Prithviraj", B2="Nivin Pauly"), "Tier 2", "Tier 3"))</f>
        <v>Tier 2</v>
      </c>
      <c r="N2" t="str">
        <f>IF(OR(A2="Sudani from Nigeria", A2="Kumbalangi Nights", A2="Uyare", A2="Ayyappanum Koshiyum", A2="Marakkar: Lion of the Arabian Sea", A2="Drishyam 2", A2="Minnal Murali", A2="2018", A2="Neru", A2="Manjummel Boys", A2="The Goat Life"), "Yes", "No")</f>
        <v>No</v>
      </c>
      <c r="O2" t="str">
        <f>IF(D2&lt;=2020, "Pre-Pandemic Era", IF(D2&lt;=2024, "Post-Pandemic Boom", "Modern Multi-Market Era "))</f>
        <v>Pre-Pandemic Era</v>
      </c>
    </row>
    <row r="3" spans="1:15" x14ac:dyDescent="0.3">
      <c r="A3" t="s">
        <v>12</v>
      </c>
      <c r="B3" t="s">
        <v>83</v>
      </c>
      <c r="C3" t="s">
        <v>103</v>
      </c>
      <c r="D3">
        <v>2018</v>
      </c>
      <c r="E3" t="s">
        <v>105</v>
      </c>
      <c r="F3" s="3">
        <v>5</v>
      </c>
      <c r="G3" s="3">
        <v>52</v>
      </c>
      <c r="H3">
        <v>7.6</v>
      </c>
      <c r="I3" t="s">
        <v>148</v>
      </c>
      <c r="J3" t="s">
        <v>215</v>
      </c>
      <c r="K3">
        <v>0.66</v>
      </c>
      <c r="L3" s="3">
        <f t="shared" ref="L3:L66" si="0">G3-F3</f>
        <v>47</v>
      </c>
      <c r="M3" t="str">
        <f t="shared" ref="M3:M66" si="1">IF(OR(B3="Mammootty", B3="Mohanlal", B3="Fahadh Faasil", B3="Dulquer Salmaan"), "Tier 1", IF(OR(B3="Tovino Thomas", B3="Prithviraj", B3="Nivin Pauly"), "Tier 2", "Tier 3"))</f>
        <v>Tier 1</v>
      </c>
      <c r="N3" t="str">
        <f t="shared" ref="N3:N66" si="2">IF(OR(A3="Sudani from Nigeria", A3="Kumbalangi Nights", A3="Uyare", A3="Ayyappanum Koshiyum", A3="Marakkar: Lion of the Arabian Sea", A3="Drishyam 2", A3="Minnal Murali", A3="2018", A3="Neru", A3="Manjummel Boys", A3="The Goat Life"), "Yes", "No")</f>
        <v>No</v>
      </c>
      <c r="O3" t="str">
        <f t="shared" ref="O3:O66" si="3">IF(D3&lt;=2020, "Pre-Pandemic Era", IF(D3&lt;=2024, "Post-Pandemic Boom", "Modern Multi-Market Era "))</f>
        <v>Pre-Pandemic Era</v>
      </c>
    </row>
    <row r="4" spans="1:15" x14ac:dyDescent="0.3">
      <c r="A4" t="s">
        <v>11</v>
      </c>
      <c r="B4" t="s">
        <v>84</v>
      </c>
      <c r="C4" t="s">
        <v>103</v>
      </c>
      <c r="D4">
        <v>2018</v>
      </c>
      <c r="E4" t="s">
        <v>106</v>
      </c>
      <c r="F4" s="3">
        <v>6</v>
      </c>
      <c r="G4" s="3">
        <v>35</v>
      </c>
      <c r="H4">
        <v>6.9</v>
      </c>
      <c r="I4" s="4" t="s">
        <v>149</v>
      </c>
      <c r="J4" t="s">
        <v>170</v>
      </c>
      <c r="K4">
        <v>0.87</v>
      </c>
      <c r="L4" s="3">
        <f t="shared" si="0"/>
        <v>29</v>
      </c>
      <c r="M4" t="str">
        <f t="shared" si="1"/>
        <v>Tier 3</v>
      </c>
      <c r="N4" t="str">
        <f t="shared" si="2"/>
        <v>No</v>
      </c>
      <c r="O4" t="str">
        <f t="shared" si="3"/>
        <v>Pre-Pandemic Era</v>
      </c>
    </row>
    <row r="5" spans="1:15" x14ac:dyDescent="0.3">
      <c r="A5" t="s">
        <v>13</v>
      </c>
      <c r="B5" t="s">
        <v>85</v>
      </c>
      <c r="C5" t="s">
        <v>103</v>
      </c>
      <c r="D5">
        <v>2018</v>
      </c>
      <c r="E5" t="s">
        <v>107</v>
      </c>
      <c r="F5" s="3">
        <v>2.5</v>
      </c>
      <c r="G5" s="3">
        <v>30</v>
      </c>
      <c r="H5">
        <v>8.1999999999999993</v>
      </c>
      <c r="I5" t="s">
        <v>150</v>
      </c>
      <c r="J5" t="s">
        <v>215</v>
      </c>
      <c r="K5" s="5">
        <v>0.3</v>
      </c>
      <c r="L5" s="3">
        <f t="shared" si="0"/>
        <v>27.5</v>
      </c>
      <c r="M5" t="str">
        <f t="shared" si="1"/>
        <v>Tier 3</v>
      </c>
      <c r="N5" t="str">
        <f t="shared" si="2"/>
        <v>Yes</v>
      </c>
      <c r="O5" t="str">
        <f t="shared" si="3"/>
        <v>Pre-Pandemic Era</v>
      </c>
    </row>
    <row r="6" spans="1:15" x14ac:dyDescent="0.3">
      <c r="A6" t="s">
        <v>14</v>
      </c>
      <c r="B6" t="s">
        <v>83</v>
      </c>
      <c r="C6" t="s">
        <v>103</v>
      </c>
      <c r="D6">
        <v>2018</v>
      </c>
      <c r="E6" t="s">
        <v>108</v>
      </c>
      <c r="F6" s="3">
        <v>7</v>
      </c>
      <c r="G6" s="3">
        <v>33</v>
      </c>
      <c r="H6">
        <v>7.5</v>
      </c>
      <c r="I6" t="s">
        <v>151</v>
      </c>
      <c r="J6" t="s">
        <v>170</v>
      </c>
      <c r="K6">
        <v>0.93</v>
      </c>
      <c r="L6" s="3">
        <f t="shared" si="0"/>
        <v>26</v>
      </c>
      <c r="M6" t="str">
        <f t="shared" si="1"/>
        <v>Tier 1</v>
      </c>
      <c r="N6" t="str">
        <f t="shared" si="2"/>
        <v>No</v>
      </c>
      <c r="O6" t="str">
        <f t="shared" si="3"/>
        <v>Pre-Pandemic Era</v>
      </c>
    </row>
    <row r="7" spans="1:15" x14ac:dyDescent="0.3">
      <c r="A7" t="s">
        <v>10</v>
      </c>
      <c r="B7" t="s">
        <v>86</v>
      </c>
      <c r="C7" t="s">
        <v>103</v>
      </c>
      <c r="D7">
        <v>2018</v>
      </c>
      <c r="E7" t="s">
        <v>109</v>
      </c>
      <c r="F7" s="3">
        <v>50</v>
      </c>
      <c r="G7" s="3">
        <v>54</v>
      </c>
      <c r="H7">
        <v>6.5</v>
      </c>
      <c r="I7" t="s">
        <v>152</v>
      </c>
      <c r="J7" t="s">
        <v>171</v>
      </c>
      <c r="K7">
        <v>7.69</v>
      </c>
      <c r="L7" s="3">
        <f t="shared" si="0"/>
        <v>4</v>
      </c>
      <c r="M7" t="str">
        <f t="shared" si="1"/>
        <v>Tier 1</v>
      </c>
      <c r="N7" t="str">
        <f t="shared" si="2"/>
        <v>No</v>
      </c>
      <c r="O7" t="str">
        <f t="shared" si="3"/>
        <v>Pre-Pandemic Era</v>
      </c>
    </row>
    <row r="8" spans="1:15" x14ac:dyDescent="0.3">
      <c r="A8" t="s">
        <v>15</v>
      </c>
      <c r="B8" t="s">
        <v>87</v>
      </c>
      <c r="C8" t="s">
        <v>103</v>
      </c>
      <c r="D8">
        <v>2018</v>
      </c>
      <c r="E8" t="s">
        <v>110</v>
      </c>
      <c r="F8" s="3">
        <v>4.5</v>
      </c>
      <c r="G8" s="3">
        <v>3</v>
      </c>
      <c r="H8">
        <v>5.3</v>
      </c>
      <c r="I8" t="s">
        <v>153</v>
      </c>
      <c r="J8" t="s">
        <v>172</v>
      </c>
      <c r="K8">
        <v>0.85</v>
      </c>
      <c r="L8" s="3">
        <f t="shared" si="0"/>
        <v>-1.5</v>
      </c>
      <c r="M8" t="str">
        <f t="shared" si="1"/>
        <v>Tier 3</v>
      </c>
      <c r="N8" t="str">
        <f t="shared" si="2"/>
        <v>No</v>
      </c>
      <c r="O8" t="str">
        <f t="shared" si="3"/>
        <v>Pre-Pandemic Era</v>
      </c>
    </row>
    <row r="9" spans="1:15" x14ac:dyDescent="0.3">
      <c r="A9" t="s">
        <v>16</v>
      </c>
      <c r="B9" t="s">
        <v>88</v>
      </c>
      <c r="C9" t="s">
        <v>103</v>
      </c>
      <c r="D9">
        <v>2018</v>
      </c>
      <c r="E9" t="s">
        <v>111</v>
      </c>
      <c r="F9" s="3">
        <v>5</v>
      </c>
      <c r="G9" s="3">
        <v>2</v>
      </c>
      <c r="H9">
        <v>4.5999999999999996</v>
      </c>
      <c r="I9" s="4" t="s">
        <v>154</v>
      </c>
      <c r="J9" t="s">
        <v>172</v>
      </c>
      <c r="K9">
        <v>1.0900000000000001</v>
      </c>
      <c r="L9" s="3">
        <f t="shared" si="0"/>
        <v>-3</v>
      </c>
      <c r="M9" t="str">
        <f t="shared" si="1"/>
        <v>Tier 3</v>
      </c>
      <c r="N9" t="str">
        <f t="shared" si="2"/>
        <v>No</v>
      </c>
      <c r="O9" t="str">
        <f t="shared" si="3"/>
        <v>Pre-Pandemic Era</v>
      </c>
    </row>
    <row r="10" spans="1:15" x14ac:dyDescent="0.3">
      <c r="A10" t="s">
        <v>17</v>
      </c>
      <c r="B10" t="s">
        <v>89</v>
      </c>
      <c r="C10" t="s">
        <v>103</v>
      </c>
      <c r="D10">
        <v>2018</v>
      </c>
      <c r="E10" t="s">
        <v>112</v>
      </c>
      <c r="F10" s="3">
        <v>20</v>
      </c>
      <c r="G10" s="3">
        <v>14</v>
      </c>
      <c r="H10">
        <v>7.1</v>
      </c>
      <c r="I10" t="s">
        <v>155</v>
      </c>
      <c r="J10" t="s">
        <v>172</v>
      </c>
      <c r="K10">
        <v>2.82</v>
      </c>
      <c r="L10" s="3">
        <f t="shared" si="0"/>
        <v>-6</v>
      </c>
      <c r="M10" t="str">
        <f t="shared" si="1"/>
        <v>Tier 3</v>
      </c>
      <c r="N10" t="str">
        <f t="shared" si="2"/>
        <v>No</v>
      </c>
      <c r="O10" t="str">
        <f t="shared" si="3"/>
        <v>Pre-Pandemic Era</v>
      </c>
    </row>
    <row r="11" spans="1:15" x14ac:dyDescent="0.3">
      <c r="A11" t="s">
        <v>18</v>
      </c>
      <c r="B11" t="s">
        <v>86</v>
      </c>
      <c r="C11" t="s">
        <v>103</v>
      </c>
      <c r="D11">
        <v>2018</v>
      </c>
      <c r="E11" t="s">
        <v>113</v>
      </c>
      <c r="F11" s="3">
        <v>11</v>
      </c>
      <c r="G11" s="3">
        <v>4.5</v>
      </c>
      <c r="H11">
        <v>4.8</v>
      </c>
      <c r="I11" t="s">
        <v>156</v>
      </c>
      <c r="J11" t="s">
        <v>172</v>
      </c>
      <c r="K11">
        <v>2.29</v>
      </c>
      <c r="L11" s="3">
        <f t="shared" si="0"/>
        <v>-6.5</v>
      </c>
      <c r="M11" t="str">
        <f t="shared" si="1"/>
        <v>Tier 1</v>
      </c>
      <c r="N11" t="str">
        <f t="shared" si="2"/>
        <v>No</v>
      </c>
      <c r="O11" t="str">
        <f t="shared" si="3"/>
        <v>Pre-Pandemic Era</v>
      </c>
    </row>
    <row r="12" spans="1:15" x14ac:dyDescent="0.3">
      <c r="A12" t="s">
        <v>19</v>
      </c>
      <c r="B12" t="s">
        <v>86</v>
      </c>
      <c r="C12" t="s">
        <v>103</v>
      </c>
      <c r="D12">
        <v>2019</v>
      </c>
      <c r="E12" t="s">
        <v>114</v>
      </c>
      <c r="F12" s="3">
        <v>30</v>
      </c>
      <c r="G12" s="3">
        <v>129</v>
      </c>
      <c r="H12">
        <v>7.5</v>
      </c>
      <c r="I12" t="s">
        <v>157</v>
      </c>
      <c r="J12" t="s">
        <v>170</v>
      </c>
      <c r="K12" s="5">
        <v>4</v>
      </c>
      <c r="L12" s="3">
        <f t="shared" si="0"/>
        <v>99</v>
      </c>
      <c r="M12" t="str">
        <f t="shared" si="1"/>
        <v>Tier 1</v>
      </c>
      <c r="N12" t="str">
        <f t="shared" si="2"/>
        <v>No</v>
      </c>
      <c r="O12" t="str">
        <f t="shared" si="3"/>
        <v>Pre-Pandemic Era</v>
      </c>
    </row>
    <row r="13" spans="1:15" x14ac:dyDescent="0.3">
      <c r="A13" t="s">
        <v>20</v>
      </c>
      <c r="B13" t="s">
        <v>90</v>
      </c>
      <c r="C13" t="s">
        <v>103</v>
      </c>
      <c r="D13">
        <v>2019</v>
      </c>
      <c r="E13" t="s">
        <v>115</v>
      </c>
      <c r="F13" s="3">
        <v>4</v>
      </c>
      <c r="G13" s="3">
        <v>39</v>
      </c>
      <c r="H13" s="3">
        <v>8.6</v>
      </c>
      <c r="I13" t="s">
        <v>158</v>
      </c>
      <c r="J13" t="s">
        <v>170</v>
      </c>
      <c r="K13" s="5">
        <v>0.47</v>
      </c>
      <c r="L13" s="3">
        <f t="shared" si="0"/>
        <v>35</v>
      </c>
      <c r="M13" t="str">
        <f t="shared" si="1"/>
        <v>Tier 3</v>
      </c>
      <c r="N13" t="str">
        <f t="shared" si="2"/>
        <v>Yes</v>
      </c>
      <c r="O13" t="str">
        <f t="shared" si="3"/>
        <v>Pre-Pandemic Era</v>
      </c>
    </row>
    <row r="14" spans="1:15" x14ac:dyDescent="0.3">
      <c r="A14" t="s">
        <v>21</v>
      </c>
      <c r="B14" t="s">
        <v>91</v>
      </c>
      <c r="C14" t="s">
        <v>103</v>
      </c>
      <c r="D14">
        <v>2019</v>
      </c>
      <c r="E14" t="s">
        <v>116</v>
      </c>
      <c r="F14" s="3">
        <v>1.5</v>
      </c>
      <c r="G14" s="3">
        <v>50</v>
      </c>
      <c r="H14" s="3">
        <v>8</v>
      </c>
      <c r="I14" s="4" t="s">
        <v>159</v>
      </c>
      <c r="J14" t="s">
        <v>215</v>
      </c>
      <c r="K14" s="5">
        <v>0.19</v>
      </c>
      <c r="L14" s="3">
        <f t="shared" si="0"/>
        <v>48.5</v>
      </c>
      <c r="M14" t="str">
        <f t="shared" si="1"/>
        <v>Tier 3</v>
      </c>
      <c r="N14" t="str">
        <f t="shared" si="2"/>
        <v>No</v>
      </c>
      <c r="O14" t="str">
        <f t="shared" si="3"/>
        <v>Pre-Pandemic Era</v>
      </c>
    </row>
    <row r="15" spans="1:15" x14ac:dyDescent="0.3">
      <c r="A15" t="s">
        <v>22</v>
      </c>
      <c r="B15" t="s">
        <v>92</v>
      </c>
      <c r="C15" t="s">
        <v>103</v>
      </c>
      <c r="D15">
        <v>2019</v>
      </c>
      <c r="E15" t="s">
        <v>115</v>
      </c>
      <c r="F15" s="3">
        <v>4</v>
      </c>
      <c r="G15" s="3">
        <v>22</v>
      </c>
      <c r="H15">
        <v>8.1999999999999993</v>
      </c>
      <c r="I15" s="4" t="s">
        <v>160</v>
      </c>
      <c r="J15" t="s">
        <v>170</v>
      </c>
      <c r="K15" s="5">
        <v>0.49</v>
      </c>
      <c r="L15" s="3">
        <f t="shared" si="0"/>
        <v>18</v>
      </c>
      <c r="M15" t="str">
        <f t="shared" si="1"/>
        <v>Tier 3</v>
      </c>
      <c r="N15" t="str">
        <f t="shared" si="2"/>
        <v>Yes</v>
      </c>
      <c r="O15" t="str">
        <f t="shared" si="3"/>
        <v>Pre-Pandemic Era</v>
      </c>
    </row>
    <row r="16" spans="1:15" x14ac:dyDescent="0.3">
      <c r="A16" t="s">
        <v>23</v>
      </c>
      <c r="B16" t="s">
        <v>93</v>
      </c>
      <c r="C16" t="s">
        <v>103</v>
      </c>
      <c r="D16">
        <v>2019</v>
      </c>
      <c r="E16" t="s">
        <v>104</v>
      </c>
      <c r="F16" s="3">
        <v>55</v>
      </c>
      <c r="G16" s="3">
        <v>120</v>
      </c>
      <c r="H16">
        <v>5.5</v>
      </c>
      <c r="I16" t="s">
        <v>161</v>
      </c>
      <c r="J16" t="s">
        <v>169</v>
      </c>
      <c r="K16" s="5">
        <v>10</v>
      </c>
      <c r="L16" s="3">
        <f t="shared" si="0"/>
        <v>65</v>
      </c>
      <c r="M16" t="str">
        <f t="shared" si="1"/>
        <v>Tier 1</v>
      </c>
      <c r="N16" t="str">
        <f t="shared" si="2"/>
        <v>No</v>
      </c>
      <c r="O16" t="str">
        <f t="shared" si="3"/>
        <v>Pre-Pandemic Era</v>
      </c>
    </row>
    <row r="17" spans="1:15" x14ac:dyDescent="0.3">
      <c r="A17" s="4" t="s">
        <v>24</v>
      </c>
      <c r="B17" t="s">
        <v>89</v>
      </c>
      <c r="C17" t="s">
        <v>103</v>
      </c>
      <c r="D17">
        <v>2019</v>
      </c>
      <c r="E17" t="s">
        <v>106</v>
      </c>
      <c r="F17" s="3">
        <v>15</v>
      </c>
      <c r="G17" s="3">
        <v>4.5</v>
      </c>
      <c r="H17">
        <v>4.2</v>
      </c>
      <c r="I17" t="s">
        <v>162</v>
      </c>
      <c r="J17" t="s">
        <v>172</v>
      </c>
      <c r="K17" s="5">
        <v>3.57</v>
      </c>
      <c r="L17" s="3">
        <f t="shared" si="0"/>
        <v>-10.5</v>
      </c>
      <c r="M17" t="str">
        <f t="shared" si="1"/>
        <v>Tier 3</v>
      </c>
      <c r="N17" t="str">
        <f t="shared" si="2"/>
        <v>No</v>
      </c>
      <c r="O17" t="str">
        <f t="shared" si="3"/>
        <v>Pre-Pandemic Era</v>
      </c>
    </row>
    <row r="18" spans="1:15" x14ac:dyDescent="0.3">
      <c r="A18" t="s">
        <v>25</v>
      </c>
      <c r="B18" t="s">
        <v>94</v>
      </c>
      <c r="C18" t="s">
        <v>103</v>
      </c>
      <c r="D18">
        <v>2019</v>
      </c>
      <c r="E18" t="s">
        <v>117</v>
      </c>
      <c r="F18" s="3">
        <v>15</v>
      </c>
      <c r="G18" s="3">
        <v>10</v>
      </c>
      <c r="H18">
        <v>5.6</v>
      </c>
      <c r="I18" t="s">
        <v>153</v>
      </c>
      <c r="J18" t="s">
        <v>172</v>
      </c>
      <c r="K18" s="5">
        <v>2.68</v>
      </c>
      <c r="L18" s="3">
        <f t="shared" si="0"/>
        <v>-5</v>
      </c>
      <c r="M18" t="str">
        <f t="shared" si="1"/>
        <v>Tier 2</v>
      </c>
      <c r="N18" t="str">
        <f t="shared" si="2"/>
        <v>No</v>
      </c>
      <c r="O18" t="str">
        <f t="shared" si="3"/>
        <v>Pre-Pandemic Era</v>
      </c>
    </row>
    <row r="19" spans="1:15" x14ac:dyDescent="0.3">
      <c r="A19" t="s">
        <v>26</v>
      </c>
      <c r="B19" t="s">
        <v>95</v>
      </c>
      <c r="C19" t="s">
        <v>103</v>
      </c>
      <c r="D19">
        <v>2020</v>
      </c>
      <c r="E19" t="s">
        <v>118</v>
      </c>
      <c r="F19" s="3">
        <v>8</v>
      </c>
      <c r="G19" s="3">
        <v>50</v>
      </c>
      <c r="H19">
        <v>7.9</v>
      </c>
      <c r="I19" t="s">
        <v>163</v>
      </c>
      <c r="J19" t="s">
        <v>170</v>
      </c>
      <c r="K19" s="5">
        <v>1.01</v>
      </c>
      <c r="L19" s="3">
        <f t="shared" si="0"/>
        <v>42</v>
      </c>
      <c r="M19" t="str">
        <f t="shared" si="1"/>
        <v>Tier 3</v>
      </c>
      <c r="N19" t="str">
        <f t="shared" si="2"/>
        <v>No</v>
      </c>
      <c r="O19" t="str">
        <f t="shared" si="3"/>
        <v>Pre-Pandemic Era</v>
      </c>
    </row>
    <row r="20" spans="1:15" x14ac:dyDescent="0.3">
      <c r="A20" t="s">
        <v>27</v>
      </c>
      <c r="B20" t="s">
        <v>94</v>
      </c>
      <c r="C20" t="s">
        <v>103</v>
      </c>
      <c r="D20">
        <v>2020</v>
      </c>
      <c r="E20" t="s">
        <v>119</v>
      </c>
      <c r="F20" s="3">
        <v>5</v>
      </c>
      <c r="G20" s="3">
        <v>52</v>
      </c>
      <c r="H20" s="3">
        <v>8</v>
      </c>
      <c r="I20" t="s">
        <v>148</v>
      </c>
      <c r="J20" s="4" t="s">
        <v>215</v>
      </c>
      <c r="K20" s="5">
        <v>0.63</v>
      </c>
      <c r="L20" s="3">
        <f t="shared" si="0"/>
        <v>47</v>
      </c>
      <c r="M20" t="str">
        <f t="shared" si="1"/>
        <v>Tier 2</v>
      </c>
      <c r="N20" t="str">
        <f t="shared" si="2"/>
        <v>Yes</v>
      </c>
      <c r="O20" t="str">
        <f t="shared" si="3"/>
        <v>Pre-Pandemic Era</v>
      </c>
    </row>
    <row r="21" spans="1:15" x14ac:dyDescent="0.3">
      <c r="A21" s="4" t="s">
        <v>28</v>
      </c>
      <c r="B21" t="s">
        <v>83</v>
      </c>
      <c r="C21" t="s">
        <v>103</v>
      </c>
      <c r="D21">
        <v>2020</v>
      </c>
      <c r="E21" t="s">
        <v>120</v>
      </c>
      <c r="F21" s="3">
        <v>2.5</v>
      </c>
      <c r="G21" s="3">
        <v>15</v>
      </c>
      <c r="H21">
        <v>7.7</v>
      </c>
      <c r="I21" s="4" t="s">
        <v>164</v>
      </c>
      <c r="J21" t="s">
        <v>170</v>
      </c>
      <c r="K21" s="5">
        <v>0.32</v>
      </c>
      <c r="L21" s="3">
        <f t="shared" si="0"/>
        <v>12.5</v>
      </c>
      <c r="M21" t="str">
        <f t="shared" si="1"/>
        <v>Tier 1</v>
      </c>
      <c r="N21" t="str">
        <f t="shared" si="2"/>
        <v>No</v>
      </c>
      <c r="O21" t="str">
        <f t="shared" si="3"/>
        <v>Pre-Pandemic Era</v>
      </c>
    </row>
    <row r="22" spans="1:15" x14ac:dyDescent="0.3">
      <c r="A22" t="s">
        <v>29</v>
      </c>
      <c r="B22" t="s">
        <v>93</v>
      </c>
      <c r="C22" t="s">
        <v>103</v>
      </c>
      <c r="D22">
        <v>2020</v>
      </c>
      <c r="E22" t="s">
        <v>121</v>
      </c>
      <c r="F22" s="3">
        <v>15</v>
      </c>
      <c r="G22" s="3">
        <v>42</v>
      </c>
      <c r="H22">
        <v>6.1</v>
      </c>
      <c r="I22" t="s">
        <v>165</v>
      </c>
      <c r="J22" t="s">
        <v>169</v>
      </c>
      <c r="K22" s="5">
        <v>2.46</v>
      </c>
      <c r="L22" s="3">
        <f t="shared" si="0"/>
        <v>27</v>
      </c>
      <c r="M22" t="str">
        <f t="shared" si="1"/>
        <v>Tier 1</v>
      </c>
      <c r="N22" t="str">
        <f t="shared" si="2"/>
        <v>No</v>
      </c>
      <c r="O22" t="str">
        <f t="shared" si="3"/>
        <v>Pre-Pandemic Era</v>
      </c>
    </row>
    <row r="23" spans="1:15" x14ac:dyDescent="0.3">
      <c r="A23" t="s">
        <v>30</v>
      </c>
      <c r="B23" t="s">
        <v>96</v>
      </c>
      <c r="C23" t="s">
        <v>103</v>
      </c>
      <c r="D23">
        <v>2020</v>
      </c>
      <c r="E23" t="s">
        <v>122</v>
      </c>
      <c r="F23" s="3">
        <v>8</v>
      </c>
      <c r="G23" s="3">
        <v>26</v>
      </c>
      <c r="H23">
        <v>6.9</v>
      </c>
      <c r="I23" s="4" t="s">
        <v>166</v>
      </c>
      <c r="J23" t="s">
        <v>170</v>
      </c>
      <c r="K23" s="5">
        <v>1.1599999999999999</v>
      </c>
      <c r="L23" s="3">
        <f t="shared" si="0"/>
        <v>18</v>
      </c>
      <c r="M23" t="str">
        <f t="shared" si="1"/>
        <v>Tier 2</v>
      </c>
      <c r="N23" t="str">
        <f t="shared" si="2"/>
        <v>No</v>
      </c>
      <c r="O23" t="str">
        <f t="shared" si="3"/>
        <v>Pre-Pandemic Era</v>
      </c>
    </row>
    <row r="24" spans="1:15" x14ac:dyDescent="0.3">
      <c r="A24" t="s">
        <v>31</v>
      </c>
      <c r="B24" t="s">
        <v>86</v>
      </c>
      <c r="C24" t="s">
        <v>103</v>
      </c>
      <c r="D24">
        <v>2020</v>
      </c>
      <c r="E24" t="s">
        <v>106</v>
      </c>
      <c r="F24" s="3">
        <v>32</v>
      </c>
      <c r="G24" s="3">
        <v>12</v>
      </c>
      <c r="H24">
        <v>3.5</v>
      </c>
      <c r="I24" s="4" t="s">
        <v>167</v>
      </c>
      <c r="J24" t="s">
        <v>172</v>
      </c>
      <c r="K24" s="5">
        <v>9.14</v>
      </c>
      <c r="L24" s="3">
        <f t="shared" si="0"/>
        <v>-20</v>
      </c>
      <c r="M24" t="str">
        <f t="shared" si="1"/>
        <v>Tier 1</v>
      </c>
      <c r="N24" t="str">
        <f t="shared" si="2"/>
        <v>No</v>
      </c>
      <c r="O24" t="str">
        <f t="shared" si="3"/>
        <v>Pre-Pandemic Era</v>
      </c>
    </row>
    <row r="25" spans="1:15" x14ac:dyDescent="0.3">
      <c r="A25" t="s">
        <v>32</v>
      </c>
      <c r="B25" t="s">
        <v>83</v>
      </c>
      <c r="C25" t="s">
        <v>103</v>
      </c>
      <c r="D25">
        <v>2020</v>
      </c>
      <c r="E25" t="s">
        <v>123</v>
      </c>
      <c r="F25" s="3">
        <v>35</v>
      </c>
      <c r="G25" s="3">
        <v>22</v>
      </c>
      <c r="H25">
        <v>7.3</v>
      </c>
      <c r="I25" t="s">
        <v>168</v>
      </c>
      <c r="J25" t="s">
        <v>172</v>
      </c>
      <c r="K25" s="5">
        <v>4.79</v>
      </c>
      <c r="L25" s="3">
        <f t="shared" si="0"/>
        <v>-13</v>
      </c>
      <c r="M25" t="str">
        <f t="shared" si="1"/>
        <v>Tier 1</v>
      </c>
      <c r="N25" t="str">
        <f t="shared" si="2"/>
        <v>No</v>
      </c>
      <c r="O25" t="str">
        <f t="shared" si="3"/>
        <v>Pre-Pandemic Era</v>
      </c>
    </row>
    <row r="26" spans="1:15" x14ac:dyDescent="0.3">
      <c r="A26" t="s">
        <v>33</v>
      </c>
      <c r="B26" t="s">
        <v>97</v>
      </c>
      <c r="C26" t="s">
        <v>103</v>
      </c>
      <c r="D26">
        <v>2020</v>
      </c>
      <c r="E26" t="s">
        <v>110</v>
      </c>
      <c r="F26" s="3">
        <v>4</v>
      </c>
      <c r="G26" s="3">
        <v>1.5</v>
      </c>
      <c r="H26">
        <v>3.2</v>
      </c>
      <c r="I26" s="4" t="s">
        <v>167</v>
      </c>
      <c r="J26" t="s">
        <v>172</v>
      </c>
      <c r="K26" s="5">
        <v>1.25</v>
      </c>
      <c r="L26" s="3">
        <f t="shared" si="0"/>
        <v>-2.5</v>
      </c>
      <c r="M26" t="str">
        <f t="shared" si="1"/>
        <v>Tier 3</v>
      </c>
      <c r="N26" t="str">
        <f t="shared" si="2"/>
        <v>No</v>
      </c>
      <c r="O26" t="str">
        <f t="shared" si="3"/>
        <v>Pre-Pandemic Era</v>
      </c>
    </row>
    <row r="27" spans="1:15" x14ac:dyDescent="0.3">
      <c r="A27" t="s">
        <v>34</v>
      </c>
      <c r="B27" t="s">
        <v>98</v>
      </c>
      <c r="C27" t="s">
        <v>103</v>
      </c>
      <c r="D27">
        <v>2020</v>
      </c>
      <c r="E27" t="s">
        <v>124</v>
      </c>
      <c r="F27" s="3">
        <v>4</v>
      </c>
      <c r="G27" s="3">
        <v>2.5</v>
      </c>
      <c r="H27">
        <v>6.5</v>
      </c>
      <c r="I27" t="s">
        <v>168</v>
      </c>
      <c r="J27" t="s">
        <v>172</v>
      </c>
      <c r="K27" s="5">
        <v>0.62</v>
      </c>
      <c r="L27" s="3">
        <f t="shared" si="0"/>
        <v>-1.5</v>
      </c>
      <c r="M27" t="str">
        <f t="shared" si="1"/>
        <v>Tier 3</v>
      </c>
      <c r="N27" t="str">
        <f t="shared" si="2"/>
        <v>No</v>
      </c>
      <c r="O27" t="str">
        <f t="shared" si="3"/>
        <v>Pre-Pandemic Era</v>
      </c>
    </row>
    <row r="28" spans="1:15" x14ac:dyDescent="0.3">
      <c r="A28" t="s">
        <v>35</v>
      </c>
      <c r="B28" t="s">
        <v>86</v>
      </c>
      <c r="C28" t="s">
        <v>103</v>
      </c>
      <c r="D28">
        <v>2021</v>
      </c>
      <c r="E28" t="s">
        <v>122</v>
      </c>
      <c r="F28" s="3">
        <v>15</v>
      </c>
      <c r="G28" s="3">
        <v>45</v>
      </c>
      <c r="H28">
        <v>8.4</v>
      </c>
      <c r="I28" s="4" t="s">
        <v>173</v>
      </c>
      <c r="J28" t="s">
        <v>170</v>
      </c>
      <c r="K28" s="5">
        <v>1.79</v>
      </c>
      <c r="L28" s="3">
        <f t="shared" si="0"/>
        <v>30</v>
      </c>
      <c r="M28" t="str">
        <f t="shared" si="1"/>
        <v>Tier 1</v>
      </c>
      <c r="N28" t="str">
        <f t="shared" si="2"/>
        <v>Yes</v>
      </c>
      <c r="O28" t="str">
        <f t="shared" si="3"/>
        <v>Post-Pandemic Boom</v>
      </c>
    </row>
    <row r="29" spans="1:15" x14ac:dyDescent="0.3">
      <c r="A29" s="4" t="s">
        <v>36</v>
      </c>
      <c r="B29" t="s">
        <v>96</v>
      </c>
      <c r="C29" t="s">
        <v>103</v>
      </c>
      <c r="D29">
        <v>2021</v>
      </c>
      <c r="E29" t="s">
        <v>125</v>
      </c>
      <c r="F29" s="3">
        <v>20</v>
      </c>
      <c r="G29" s="3">
        <v>55</v>
      </c>
      <c r="H29">
        <v>7.8</v>
      </c>
      <c r="I29" t="s">
        <v>174</v>
      </c>
      <c r="J29" t="s">
        <v>169</v>
      </c>
      <c r="K29" s="5">
        <v>2.56</v>
      </c>
      <c r="L29" s="3">
        <f t="shared" si="0"/>
        <v>35</v>
      </c>
      <c r="M29" t="str">
        <f t="shared" si="1"/>
        <v>Tier 2</v>
      </c>
      <c r="N29" t="str">
        <f t="shared" si="2"/>
        <v>Yes</v>
      </c>
      <c r="O29" t="str">
        <f t="shared" si="3"/>
        <v>Post-Pandemic Boom</v>
      </c>
    </row>
    <row r="30" spans="1:15" x14ac:dyDescent="0.3">
      <c r="A30" t="s">
        <v>37</v>
      </c>
      <c r="B30" t="s">
        <v>99</v>
      </c>
      <c r="C30" t="s">
        <v>103</v>
      </c>
      <c r="D30">
        <v>2021</v>
      </c>
      <c r="E30" t="s">
        <v>118</v>
      </c>
      <c r="F30" s="3">
        <v>35</v>
      </c>
      <c r="G30" s="3">
        <v>81</v>
      </c>
      <c r="H30" s="3">
        <v>7</v>
      </c>
      <c r="I30" t="s">
        <v>175</v>
      </c>
      <c r="J30" t="s">
        <v>169</v>
      </c>
      <c r="K30" s="5">
        <v>5</v>
      </c>
      <c r="L30" s="3">
        <f t="shared" si="0"/>
        <v>46</v>
      </c>
      <c r="M30" t="str">
        <f t="shared" si="1"/>
        <v>Tier 1</v>
      </c>
      <c r="N30" t="str">
        <f t="shared" si="2"/>
        <v>No</v>
      </c>
      <c r="O30" t="str">
        <f t="shared" si="3"/>
        <v>Post-Pandemic Boom</v>
      </c>
    </row>
    <row r="31" spans="1:15" x14ac:dyDescent="0.3">
      <c r="A31" t="s">
        <v>38</v>
      </c>
      <c r="B31" t="s">
        <v>86</v>
      </c>
      <c r="C31" t="s">
        <v>103</v>
      </c>
      <c r="D31">
        <v>2021</v>
      </c>
      <c r="E31" t="s">
        <v>126</v>
      </c>
      <c r="F31" s="3">
        <v>100</v>
      </c>
      <c r="G31" s="3">
        <v>45</v>
      </c>
      <c r="H31" s="3">
        <v>5.8</v>
      </c>
      <c r="I31" t="s">
        <v>176</v>
      </c>
      <c r="J31" t="s">
        <v>172</v>
      </c>
      <c r="K31" s="5">
        <v>17.239999999999998</v>
      </c>
      <c r="L31" s="3">
        <f t="shared" si="0"/>
        <v>-55</v>
      </c>
      <c r="M31" t="str">
        <f t="shared" si="1"/>
        <v>Tier 1</v>
      </c>
      <c r="N31" t="str">
        <f t="shared" si="2"/>
        <v>Yes</v>
      </c>
      <c r="O31" t="str">
        <f t="shared" si="3"/>
        <v>Post-Pandemic Boom</v>
      </c>
    </row>
    <row r="32" spans="1:15" x14ac:dyDescent="0.3">
      <c r="A32" t="s">
        <v>39</v>
      </c>
      <c r="B32" t="s">
        <v>93</v>
      </c>
      <c r="C32" t="s">
        <v>103</v>
      </c>
      <c r="D32">
        <v>2021</v>
      </c>
      <c r="E32" t="s">
        <v>127</v>
      </c>
      <c r="F32" s="3">
        <v>18</v>
      </c>
      <c r="G32" s="3">
        <v>12</v>
      </c>
      <c r="H32">
        <v>6.5</v>
      </c>
      <c r="I32" s="4" t="s">
        <v>153</v>
      </c>
      <c r="J32" t="s">
        <v>172</v>
      </c>
      <c r="K32" s="5">
        <v>2.77</v>
      </c>
      <c r="L32" s="3">
        <f t="shared" si="0"/>
        <v>-6</v>
      </c>
      <c r="M32" t="str">
        <f t="shared" si="1"/>
        <v>Tier 1</v>
      </c>
      <c r="N32" t="str">
        <f t="shared" si="2"/>
        <v>No</v>
      </c>
      <c r="O32" t="str">
        <f t="shared" si="3"/>
        <v>Post-Pandemic Boom</v>
      </c>
    </row>
    <row r="33" spans="1:15" x14ac:dyDescent="0.3">
      <c r="A33" t="s">
        <v>40</v>
      </c>
      <c r="B33" t="s">
        <v>93</v>
      </c>
      <c r="C33" t="s">
        <v>103</v>
      </c>
      <c r="D33">
        <v>2021</v>
      </c>
      <c r="E33" t="s">
        <v>128</v>
      </c>
      <c r="F33" s="3">
        <v>15</v>
      </c>
      <c r="G33" s="3">
        <v>18</v>
      </c>
      <c r="H33">
        <v>6.5</v>
      </c>
      <c r="I33" t="s">
        <v>177</v>
      </c>
      <c r="J33" t="s">
        <v>171</v>
      </c>
      <c r="K33" s="5">
        <v>2.31</v>
      </c>
      <c r="L33" s="3">
        <f t="shared" si="0"/>
        <v>3</v>
      </c>
      <c r="M33" t="str">
        <f t="shared" si="1"/>
        <v>Tier 1</v>
      </c>
      <c r="N33" t="str">
        <f t="shared" si="2"/>
        <v>No</v>
      </c>
      <c r="O33" t="str">
        <f t="shared" si="3"/>
        <v>Post-Pandemic Boom</v>
      </c>
    </row>
    <row r="34" spans="1:15" x14ac:dyDescent="0.3">
      <c r="A34" t="s">
        <v>41</v>
      </c>
      <c r="B34" t="s">
        <v>94</v>
      </c>
      <c r="C34" t="s">
        <v>103</v>
      </c>
      <c r="D34">
        <v>2021</v>
      </c>
      <c r="E34" t="s">
        <v>129</v>
      </c>
      <c r="F34" s="3">
        <v>7</v>
      </c>
      <c r="G34" s="3">
        <v>5</v>
      </c>
      <c r="H34">
        <v>6.1</v>
      </c>
      <c r="I34" s="4" t="s">
        <v>178</v>
      </c>
      <c r="J34" t="s">
        <v>172</v>
      </c>
      <c r="K34" s="5">
        <v>1.1499999999999999</v>
      </c>
      <c r="L34" s="3">
        <f t="shared" si="0"/>
        <v>-2</v>
      </c>
      <c r="M34" t="str">
        <f t="shared" si="1"/>
        <v>Tier 2</v>
      </c>
      <c r="N34" t="str">
        <f t="shared" si="2"/>
        <v>No</v>
      </c>
      <c r="O34" t="str">
        <f t="shared" si="3"/>
        <v>Post-Pandemic Boom</v>
      </c>
    </row>
    <row r="35" spans="1:15" x14ac:dyDescent="0.3">
      <c r="A35" t="s">
        <v>42</v>
      </c>
      <c r="B35" t="s">
        <v>94</v>
      </c>
      <c r="C35" t="s">
        <v>103</v>
      </c>
      <c r="D35">
        <v>2021</v>
      </c>
      <c r="E35" t="s">
        <v>111</v>
      </c>
      <c r="F35" s="3">
        <v>6</v>
      </c>
      <c r="G35" s="3">
        <v>4</v>
      </c>
      <c r="H35">
        <v>6.3</v>
      </c>
      <c r="I35" s="4" t="s">
        <v>153</v>
      </c>
      <c r="J35" t="s">
        <v>172</v>
      </c>
      <c r="K35" s="5">
        <v>0.95</v>
      </c>
      <c r="L35" s="3">
        <f t="shared" si="0"/>
        <v>-2</v>
      </c>
      <c r="M35" t="str">
        <f t="shared" si="1"/>
        <v>Tier 2</v>
      </c>
      <c r="N35" t="str">
        <f t="shared" si="2"/>
        <v>No</v>
      </c>
      <c r="O35" t="str">
        <f t="shared" si="3"/>
        <v>Post-Pandemic Boom</v>
      </c>
    </row>
    <row r="36" spans="1:15" x14ac:dyDescent="0.3">
      <c r="A36" t="s">
        <v>43</v>
      </c>
      <c r="B36" t="s">
        <v>93</v>
      </c>
      <c r="C36" t="s">
        <v>103</v>
      </c>
      <c r="D36">
        <v>2022</v>
      </c>
      <c r="E36" t="s">
        <v>130</v>
      </c>
      <c r="F36" s="3">
        <v>15</v>
      </c>
      <c r="G36" s="3">
        <v>88.1</v>
      </c>
      <c r="H36">
        <v>7.7</v>
      </c>
      <c r="I36" s="4" t="s">
        <v>179</v>
      </c>
      <c r="J36" t="s">
        <v>170</v>
      </c>
      <c r="K36" s="5">
        <v>1.95</v>
      </c>
      <c r="L36" s="3">
        <f t="shared" si="0"/>
        <v>73.099999999999994</v>
      </c>
      <c r="M36" t="str">
        <f t="shared" si="1"/>
        <v>Tier 1</v>
      </c>
      <c r="N36" t="str">
        <f t="shared" si="2"/>
        <v>No</v>
      </c>
      <c r="O36" t="str">
        <f t="shared" si="3"/>
        <v>Post-Pandemic Boom</v>
      </c>
    </row>
    <row r="37" spans="1:15" x14ac:dyDescent="0.3">
      <c r="A37" t="s">
        <v>44</v>
      </c>
      <c r="B37" t="s">
        <v>84</v>
      </c>
      <c r="C37" t="s">
        <v>103</v>
      </c>
      <c r="D37">
        <v>2022</v>
      </c>
      <c r="E37" t="s">
        <v>116</v>
      </c>
      <c r="F37" s="3">
        <v>7</v>
      </c>
      <c r="G37" s="3">
        <v>55</v>
      </c>
      <c r="H37">
        <v>8.1</v>
      </c>
      <c r="I37" s="4" t="s">
        <v>180</v>
      </c>
      <c r="J37" t="s">
        <v>170</v>
      </c>
      <c r="K37" s="5">
        <v>0.86</v>
      </c>
      <c r="L37" s="3">
        <f t="shared" si="0"/>
        <v>48</v>
      </c>
      <c r="M37" t="str">
        <f t="shared" si="1"/>
        <v>Tier 3</v>
      </c>
      <c r="N37" t="str">
        <f t="shared" si="2"/>
        <v>No</v>
      </c>
      <c r="O37" t="str">
        <f t="shared" si="3"/>
        <v>Post-Pandemic Boom</v>
      </c>
    </row>
    <row r="38" spans="1:15" x14ac:dyDescent="0.3">
      <c r="A38" t="s">
        <v>45</v>
      </c>
      <c r="B38" t="s">
        <v>96</v>
      </c>
      <c r="C38" t="s">
        <v>103</v>
      </c>
      <c r="D38">
        <v>2022</v>
      </c>
      <c r="E38" t="s">
        <v>117</v>
      </c>
      <c r="F38" s="3">
        <v>18</v>
      </c>
      <c r="G38" s="3">
        <v>71</v>
      </c>
      <c r="H38">
        <v>7.1</v>
      </c>
      <c r="I38" t="s">
        <v>181</v>
      </c>
      <c r="J38" t="s">
        <v>170</v>
      </c>
      <c r="K38" s="5">
        <v>2.54</v>
      </c>
      <c r="L38" s="3">
        <f t="shared" si="0"/>
        <v>53</v>
      </c>
      <c r="M38" t="str">
        <f t="shared" si="1"/>
        <v>Tier 2</v>
      </c>
      <c r="N38" t="str">
        <f t="shared" si="2"/>
        <v>No</v>
      </c>
      <c r="O38" t="str">
        <f t="shared" si="3"/>
        <v>Post-Pandemic Boom</v>
      </c>
    </row>
    <row r="39" spans="1:15" x14ac:dyDescent="0.3">
      <c r="A39" t="s">
        <v>46</v>
      </c>
      <c r="B39" t="s">
        <v>93</v>
      </c>
      <c r="C39" t="s">
        <v>103</v>
      </c>
      <c r="D39">
        <v>2022</v>
      </c>
      <c r="E39" t="s">
        <v>131</v>
      </c>
      <c r="F39" s="3">
        <v>15</v>
      </c>
      <c r="G39" s="3">
        <v>39</v>
      </c>
      <c r="H39">
        <v>7.3</v>
      </c>
      <c r="I39" s="4" t="s">
        <v>182</v>
      </c>
      <c r="J39" t="s">
        <v>169</v>
      </c>
      <c r="K39" s="5">
        <v>2.0499999999999998</v>
      </c>
      <c r="L39" s="3">
        <f t="shared" si="0"/>
        <v>24</v>
      </c>
      <c r="M39" t="str">
        <f t="shared" si="1"/>
        <v>Tier 1</v>
      </c>
      <c r="N39" t="str">
        <f t="shared" si="2"/>
        <v>No</v>
      </c>
      <c r="O39" t="str">
        <f t="shared" si="3"/>
        <v>Post-Pandemic Boom</v>
      </c>
    </row>
    <row r="40" spans="1:15" x14ac:dyDescent="0.3">
      <c r="A40" t="s">
        <v>47</v>
      </c>
      <c r="B40" t="s">
        <v>94</v>
      </c>
      <c r="C40" t="s">
        <v>103</v>
      </c>
      <c r="D40">
        <v>2022</v>
      </c>
      <c r="E40" t="s">
        <v>132</v>
      </c>
      <c r="F40" s="3">
        <v>15</v>
      </c>
      <c r="G40" s="3">
        <v>11</v>
      </c>
      <c r="H40">
        <v>4.8</v>
      </c>
      <c r="I40" s="4" t="s">
        <v>183</v>
      </c>
      <c r="J40" t="s">
        <v>172</v>
      </c>
      <c r="K40" s="5">
        <v>3.13</v>
      </c>
      <c r="L40" s="3">
        <f t="shared" si="0"/>
        <v>-4</v>
      </c>
      <c r="M40" t="str">
        <f t="shared" si="1"/>
        <v>Tier 2</v>
      </c>
      <c r="N40" t="str">
        <f t="shared" si="2"/>
        <v>No</v>
      </c>
      <c r="O40" t="str">
        <f t="shared" si="3"/>
        <v>Post-Pandemic Boom</v>
      </c>
    </row>
    <row r="41" spans="1:15" x14ac:dyDescent="0.3">
      <c r="A41" t="s">
        <v>48</v>
      </c>
      <c r="B41" t="s">
        <v>93</v>
      </c>
      <c r="C41" t="s">
        <v>103</v>
      </c>
      <c r="D41">
        <v>2022</v>
      </c>
      <c r="E41" t="s">
        <v>122</v>
      </c>
      <c r="F41" s="3">
        <v>25</v>
      </c>
      <c r="G41" s="3">
        <v>32</v>
      </c>
      <c r="H41" s="3">
        <v>6</v>
      </c>
      <c r="I41" s="4" t="s">
        <v>184</v>
      </c>
      <c r="J41" t="s">
        <v>171</v>
      </c>
      <c r="K41" s="5">
        <v>4.17</v>
      </c>
      <c r="L41" s="3">
        <f t="shared" si="0"/>
        <v>7</v>
      </c>
      <c r="M41" t="str">
        <f t="shared" si="1"/>
        <v>Tier 1</v>
      </c>
      <c r="N41" t="str">
        <f t="shared" si="2"/>
        <v>No</v>
      </c>
      <c r="O41" t="str">
        <f t="shared" si="3"/>
        <v>Post-Pandemic Boom</v>
      </c>
    </row>
    <row r="42" spans="1:15" x14ac:dyDescent="0.3">
      <c r="A42" t="s">
        <v>49</v>
      </c>
      <c r="B42" t="s">
        <v>86</v>
      </c>
      <c r="C42" t="s">
        <v>103</v>
      </c>
      <c r="D42">
        <v>2022</v>
      </c>
      <c r="E42" t="s">
        <v>118</v>
      </c>
      <c r="F42" s="3">
        <v>10</v>
      </c>
      <c r="G42" s="3">
        <v>6</v>
      </c>
      <c r="H42">
        <v>4.3</v>
      </c>
      <c r="I42" s="4" t="s">
        <v>185</v>
      </c>
      <c r="J42" t="s">
        <v>172</v>
      </c>
      <c r="K42" s="5">
        <v>2.33</v>
      </c>
      <c r="L42" s="3">
        <f t="shared" si="0"/>
        <v>-4</v>
      </c>
      <c r="M42" t="str">
        <f t="shared" si="1"/>
        <v>Tier 1</v>
      </c>
      <c r="N42" t="str">
        <f t="shared" si="2"/>
        <v>No</v>
      </c>
      <c r="O42" t="str">
        <f t="shared" si="3"/>
        <v>Post-Pandemic Boom</v>
      </c>
    </row>
    <row r="43" spans="1:15" x14ac:dyDescent="0.3">
      <c r="A43" t="s">
        <v>50</v>
      </c>
      <c r="B43" t="s">
        <v>86</v>
      </c>
      <c r="C43" t="s">
        <v>103</v>
      </c>
      <c r="D43">
        <v>2022</v>
      </c>
      <c r="E43" t="s">
        <v>121</v>
      </c>
      <c r="F43" s="3">
        <v>25</v>
      </c>
      <c r="G43" s="3">
        <v>18</v>
      </c>
      <c r="H43">
        <v>3.9</v>
      </c>
      <c r="I43" s="4" t="s">
        <v>186</v>
      </c>
      <c r="J43" t="s">
        <v>172</v>
      </c>
      <c r="K43" s="5">
        <v>6.41</v>
      </c>
      <c r="L43" s="3">
        <f t="shared" si="0"/>
        <v>-7</v>
      </c>
      <c r="M43" t="str">
        <f t="shared" si="1"/>
        <v>Tier 1</v>
      </c>
      <c r="N43" t="str">
        <f t="shared" si="2"/>
        <v>No</v>
      </c>
      <c r="O43" t="str">
        <f t="shared" si="3"/>
        <v>Post-Pandemic Boom</v>
      </c>
    </row>
    <row r="44" spans="1:15" x14ac:dyDescent="0.3">
      <c r="A44" t="s">
        <v>51</v>
      </c>
      <c r="B44" t="s">
        <v>83</v>
      </c>
      <c r="C44" t="s">
        <v>103</v>
      </c>
      <c r="D44">
        <v>2022</v>
      </c>
      <c r="E44" t="s">
        <v>133</v>
      </c>
      <c r="F44" s="3">
        <v>12</v>
      </c>
      <c r="G44" s="3">
        <v>9</v>
      </c>
      <c r="H44">
        <v>6.8</v>
      </c>
      <c r="I44" t="s">
        <v>187</v>
      </c>
      <c r="J44" t="s">
        <v>172</v>
      </c>
      <c r="K44" s="5">
        <v>1.76</v>
      </c>
      <c r="L44" s="3">
        <f t="shared" si="0"/>
        <v>-3</v>
      </c>
      <c r="M44" t="str">
        <f t="shared" si="1"/>
        <v>Tier 1</v>
      </c>
      <c r="N44" t="str">
        <f t="shared" si="2"/>
        <v>No</v>
      </c>
      <c r="O44" t="str">
        <f t="shared" si="3"/>
        <v>Post-Pandemic Boom</v>
      </c>
    </row>
    <row r="45" spans="1:15" x14ac:dyDescent="0.3">
      <c r="A45" s="2">
        <v>2018</v>
      </c>
      <c r="B45" t="s">
        <v>96</v>
      </c>
      <c r="C45" t="s">
        <v>103</v>
      </c>
      <c r="D45">
        <v>2023</v>
      </c>
      <c r="E45" t="s">
        <v>134</v>
      </c>
      <c r="F45" s="3">
        <v>26</v>
      </c>
      <c r="G45" s="3">
        <v>180</v>
      </c>
      <c r="H45" s="3">
        <v>8</v>
      </c>
      <c r="I45" t="s">
        <v>188</v>
      </c>
      <c r="J45" t="s">
        <v>170</v>
      </c>
      <c r="K45" s="5">
        <v>3.25</v>
      </c>
      <c r="L45" s="3">
        <f t="shared" si="0"/>
        <v>154</v>
      </c>
      <c r="M45" t="str">
        <f t="shared" si="1"/>
        <v>Tier 2</v>
      </c>
      <c r="N45" t="s">
        <v>221</v>
      </c>
      <c r="O45" t="str">
        <f t="shared" si="3"/>
        <v>Post-Pandemic Boom</v>
      </c>
    </row>
    <row r="46" spans="1:15" x14ac:dyDescent="0.3">
      <c r="A46" t="s">
        <v>52</v>
      </c>
      <c r="B46" t="s">
        <v>86</v>
      </c>
      <c r="C46" t="s">
        <v>103</v>
      </c>
      <c r="D46">
        <v>2023</v>
      </c>
      <c r="E46" t="s">
        <v>135</v>
      </c>
      <c r="F46" s="3">
        <v>10</v>
      </c>
      <c r="G46" s="3">
        <v>86</v>
      </c>
      <c r="H46">
        <v>7.6</v>
      </c>
      <c r="I46" s="4" t="s">
        <v>189</v>
      </c>
      <c r="J46" t="s">
        <v>170</v>
      </c>
      <c r="K46" s="5">
        <v>1.32</v>
      </c>
      <c r="L46" s="3">
        <f t="shared" si="0"/>
        <v>76</v>
      </c>
      <c r="M46" t="str">
        <f t="shared" si="1"/>
        <v>Tier 1</v>
      </c>
      <c r="N46" t="str">
        <f t="shared" si="2"/>
        <v>Yes</v>
      </c>
      <c r="O46" t="str">
        <f t="shared" si="3"/>
        <v>Post-Pandemic Boom</v>
      </c>
    </row>
    <row r="47" spans="1:15" x14ac:dyDescent="0.3">
      <c r="A47" t="s">
        <v>53</v>
      </c>
      <c r="B47" t="s">
        <v>93</v>
      </c>
      <c r="C47" t="s">
        <v>103</v>
      </c>
      <c r="D47">
        <v>2023</v>
      </c>
      <c r="E47" t="s">
        <v>118</v>
      </c>
      <c r="F47" s="3">
        <v>25</v>
      </c>
      <c r="G47" s="3">
        <v>82</v>
      </c>
      <c r="H47">
        <v>7.6</v>
      </c>
      <c r="I47" t="s">
        <v>190</v>
      </c>
      <c r="J47" t="s">
        <v>170</v>
      </c>
      <c r="K47" s="5">
        <v>3.29</v>
      </c>
      <c r="L47" s="3">
        <f t="shared" si="0"/>
        <v>57</v>
      </c>
      <c r="M47" t="str">
        <f t="shared" si="1"/>
        <v>Tier 1</v>
      </c>
      <c r="N47" t="str">
        <f t="shared" si="2"/>
        <v>No</v>
      </c>
      <c r="O47" t="str">
        <f t="shared" si="3"/>
        <v>Post-Pandemic Boom</v>
      </c>
    </row>
    <row r="48" spans="1:15" x14ac:dyDescent="0.3">
      <c r="A48" t="s">
        <v>54</v>
      </c>
      <c r="B48" t="s">
        <v>85</v>
      </c>
      <c r="C48" t="s">
        <v>103</v>
      </c>
      <c r="D48">
        <v>2023</v>
      </c>
      <c r="E48" t="s">
        <v>136</v>
      </c>
      <c r="F48" s="3">
        <v>3.5</v>
      </c>
      <c r="G48" s="3">
        <v>70</v>
      </c>
      <c r="H48">
        <v>7.5</v>
      </c>
      <c r="I48" s="4" t="s">
        <v>191</v>
      </c>
      <c r="J48" t="s">
        <v>215</v>
      </c>
      <c r="K48" s="5">
        <v>0.47</v>
      </c>
      <c r="L48" s="3">
        <f t="shared" si="0"/>
        <v>66.5</v>
      </c>
      <c r="M48" t="str">
        <f t="shared" si="1"/>
        <v>Tier 3</v>
      </c>
      <c r="N48" t="str">
        <f t="shared" si="2"/>
        <v>No</v>
      </c>
      <c r="O48" t="str">
        <f t="shared" si="3"/>
        <v>Post-Pandemic Boom</v>
      </c>
    </row>
    <row r="49" spans="1:15" x14ac:dyDescent="0.3">
      <c r="A49" t="s">
        <v>55</v>
      </c>
      <c r="B49" t="s">
        <v>99</v>
      </c>
      <c r="C49" t="s">
        <v>103</v>
      </c>
      <c r="D49">
        <v>2023</v>
      </c>
      <c r="E49" t="s">
        <v>137</v>
      </c>
      <c r="F49" s="3">
        <v>10</v>
      </c>
      <c r="G49" s="3">
        <v>37</v>
      </c>
      <c r="H49">
        <v>6.2</v>
      </c>
      <c r="I49" t="s">
        <v>192</v>
      </c>
      <c r="J49" t="s">
        <v>172</v>
      </c>
      <c r="K49" s="5">
        <v>1.61</v>
      </c>
      <c r="L49" s="3">
        <f t="shared" si="0"/>
        <v>27</v>
      </c>
      <c r="M49" t="str">
        <f t="shared" si="1"/>
        <v>Tier 1</v>
      </c>
      <c r="N49" t="str">
        <f t="shared" si="2"/>
        <v>No</v>
      </c>
      <c r="O49" t="str">
        <f t="shared" si="3"/>
        <v>Post-Pandemic Boom</v>
      </c>
    </row>
    <row r="50" spans="1:15" x14ac:dyDescent="0.3">
      <c r="A50" t="s">
        <v>56</v>
      </c>
      <c r="B50" t="s">
        <v>93</v>
      </c>
      <c r="C50" t="s">
        <v>103</v>
      </c>
      <c r="D50">
        <v>2023</v>
      </c>
      <c r="E50" t="s">
        <v>138</v>
      </c>
      <c r="F50" s="3">
        <v>25</v>
      </c>
      <c r="G50" s="3">
        <v>11</v>
      </c>
      <c r="H50">
        <v>6.1</v>
      </c>
      <c r="I50" s="4" t="s">
        <v>193</v>
      </c>
      <c r="J50" t="s">
        <v>172</v>
      </c>
      <c r="K50" s="5">
        <v>4.0999999999999996</v>
      </c>
      <c r="L50" s="3">
        <f t="shared" si="0"/>
        <v>-14</v>
      </c>
      <c r="M50" t="str">
        <f t="shared" si="1"/>
        <v>Tier 1</v>
      </c>
      <c r="N50" t="str">
        <f t="shared" si="2"/>
        <v>No</v>
      </c>
      <c r="O50" t="str">
        <f t="shared" si="3"/>
        <v>Post-Pandemic Boom</v>
      </c>
    </row>
    <row r="51" spans="1:15" x14ac:dyDescent="0.3">
      <c r="A51" t="s">
        <v>57</v>
      </c>
      <c r="B51" t="s">
        <v>83</v>
      </c>
      <c r="C51" t="s">
        <v>103</v>
      </c>
      <c r="D51">
        <v>2023</v>
      </c>
      <c r="E51" t="s">
        <v>139</v>
      </c>
      <c r="F51" s="3">
        <v>15</v>
      </c>
      <c r="G51" s="3">
        <v>6</v>
      </c>
      <c r="H51">
        <v>6.5</v>
      </c>
      <c r="I51" s="4" t="s">
        <v>154</v>
      </c>
      <c r="J51" t="s">
        <v>172</v>
      </c>
      <c r="K51">
        <v>2.31</v>
      </c>
      <c r="L51" s="3">
        <f t="shared" si="0"/>
        <v>-9</v>
      </c>
      <c r="M51" t="str">
        <f t="shared" si="1"/>
        <v>Tier 1</v>
      </c>
      <c r="N51" t="str">
        <f t="shared" si="2"/>
        <v>No</v>
      </c>
      <c r="O51" t="str">
        <f t="shared" si="3"/>
        <v>Post-Pandemic Boom</v>
      </c>
    </row>
    <row r="52" spans="1:15" x14ac:dyDescent="0.3">
      <c r="A52" t="s">
        <v>58</v>
      </c>
      <c r="B52" t="s">
        <v>85</v>
      </c>
      <c r="C52" t="s">
        <v>103</v>
      </c>
      <c r="D52">
        <v>2024</v>
      </c>
      <c r="E52" t="s">
        <v>108</v>
      </c>
      <c r="F52" s="3">
        <v>20</v>
      </c>
      <c r="G52" s="3">
        <v>242.3</v>
      </c>
      <c r="H52">
        <v>8.3000000000000007</v>
      </c>
      <c r="I52" s="4" t="s">
        <v>194</v>
      </c>
      <c r="J52" t="s">
        <v>215</v>
      </c>
      <c r="K52" s="5">
        <v>2.41</v>
      </c>
      <c r="L52" s="3">
        <f t="shared" si="0"/>
        <v>222.3</v>
      </c>
      <c r="M52" t="str">
        <f t="shared" si="1"/>
        <v>Tier 3</v>
      </c>
      <c r="N52" t="str">
        <f t="shared" si="2"/>
        <v>Yes</v>
      </c>
      <c r="O52" t="str">
        <f t="shared" si="3"/>
        <v>Post-Pandemic Boom</v>
      </c>
    </row>
    <row r="53" spans="1:15" x14ac:dyDescent="0.3">
      <c r="A53" t="s">
        <v>59</v>
      </c>
      <c r="B53" t="s">
        <v>94</v>
      </c>
      <c r="C53" t="s">
        <v>103</v>
      </c>
      <c r="D53">
        <v>2024</v>
      </c>
      <c r="E53" t="s">
        <v>133</v>
      </c>
      <c r="F53" s="3">
        <v>80</v>
      </c>
      <c r="G53" s="3">
        <v>158.6</v>
      </c>
      <c r="H53">
        <v>8.1999999999999993</v>
      </c>
      <c r="I53" s="4" t="s">
        <v>195</v>
      </c>
      <c r="J53" t="s">
        <v>214</v>
      </c>
      <c r="K53" s="5">
        <v>9.76</v>
      </c>
      <c r="L53" s="3">
        <f t="shared" si="0"/>
        <v>78.599999999999994</v>
      </c>
      <c r="M53" t="str">
        <f t="shared" si="1"/>
        <v>Tier 2</v>
      </c>
      <c r="N53" t="str">
        <f t="shared" si="2"/>
        <v>Yes</v>
      </c>
      <c r="O53" t="str">
        <f t="shared" si="3"/>
        <v>Post-Pandemic Boom</v>
      </c>
    </row>
    <row r="54" spans="1:15" x14ac:dyDescent="0.3">
      <c r="A54" t="s">
        <v>60</v>
      </c>
      <c r="B54" t="s">
        <v>83</v>
      </c>
      <c r="C54" t="s">
        <v>103</v>
      </c>
      <c r="D54">
        <v>2024</v>
      </c>
      <c r="E54" t="s">
        <v>117</v>
      </c>
      <c r="F54" s="3">
        <v>30</v>
      </c>
      <c r="G54" s="3">
        <v>156</v>
      </c>
      <c r="H54">
        <v>7.9</v>
      </c>
      <c r="I54" s="4" t="s">
        <v>196</v>
      </c>
      <c r="J54" t="s">
        <v>170</v>
      </c>
      <c r="K54" s="5">
        <v>3.8</v>
      </c>
      <c r="L54" s="3">
        <f t="shared" si="0"/>
        <v>126</v>
      </c>
      <c r="M54" t="str">
        <f t="shared" si="1"/>
        <v>Tier 1</v>
      </c>
      <c r="N54" t="str">
        <f t="shared" si="2"/>
        <v>No</v>
      </c>
      <c r="O54" t="str">
        <f t="shared" si="3"/>
        <v>Post-Pandemic Boom</v>
      </c>
    </row>
    <row r="55" spans="1:15" x14ac:dyDescent="0.3">
      <c r="A55" t="s">
        <v>61</v>
      </c>
      <c r="B55" t="s">
        <v>100</v>
      </c>
      <c r="C55" t="s">
        <v>103</v>
      </c>
      <c r="D55">
        <v>2024</v>
      </c>
      <c r="E55" t="s">
        <v>140</v>
      </c>
      <c r="F55" s="3">
        <v>3</v>
      </c>
      <c r="G55" s="3">
        <v>136.25</v>
      </c>
      <c r="H55">
        <v>7.8</v>
      </c>
      <c r="I55" s="4" t="s">
        <v>197</v>
      </c>
      <c r="J55" t="s">
        <v>215</v>
      </c>
      <c r="K55" s="5">
        <v>0.38</v>
      </c>
      <c r="L55" s="3">
        <f t="shared" si="0"/>
        <v>133.25</v>
      </c>
      <c r="M55" t="str">
        <f t="shared" si="1"/>
        <v>Tier 3</v>
      </c>
      <c r="N55" t="str">
        <f t="shared" si="2"/>
        <v>No</v>
      </c>
      <c r="O55" t="str">
        <f t="shared" si="3"/>
        <v>Post-Pandemic Boom</v>
      </c>
    </row>
    <row r="56" spans="1:15" x14ac:dyDescent="0.3">
      <c r="A56" t="s">
        <v>62</v>
      </c>
      <c r="B56" t="s">
        <v>96</v>
      </c>
      <c r="C56" t="s">
        <v>103</v>
      </c>
      <c r="D56">
        <v>2024</v>
      </c>
      <c r="E56" t="s">
        <v>141</v>
      </c>
      <c r="F56" s="3">
        <v>30</v>
      </c>
      <c r="G56">
        <v>106.75</v>
      </c>
      <c r="H56">
        <v>7.6</v>
      </c>
      <c r="I56" s="4" t="s">
        <v>198</v>
      </c>
      <c r="J56" t="s">
        <v>170</v>
      </c>
      <c r="K56" s="5">
        <v>3.95</v>
      </c>
      <c r="L56" s="3">
        <f t="shared" si="0"/>
        <v>76.75</v>
      </c>
      <c r="M56" t="str">
        <f t="shared" si="1"/>
        <v>Tier 2</v>
      </c>
      <c r="N56" t="str">
        <f t="shared" si="2"/>
        <v>No</v>
      </c>
      <c r="O56" t="str">
        <f t="shared" si="3"/>
        <v>Post-Pandemic Boom</v>
      </c>
    </row>
    <row r="57" spans="1:15" x14ac:dyDescent="0.3">
      <c r="A57" t="s">
        <v>63</v>
      </c>
      <c r="B57" t="s">
        <v>93</v>
      </c>
      <c r="C57" t="s">
        <v>103</v>
      </c>
      <c r="D57">
        <v>2024</v>
      </c>
      <c r="E57" t="s">
        <v>117</v>
      </c>
      <c r="F57" s="3">
        <v>60</v>
      </c>
      <c r="G57" s="3">
        <v>70</v>
      </c>
      <c r="H57">
        <v>6.2</v>
      </c>
      <c r="I57" s="4" t="s">
        <v>199</v>
      </c>
      <c r="J57" t="s">
        <v>171</v>
      </c>
      <c r="K57" s="5">
        <v>9.68</v>
      </c>
      <c r="L57" s="3">
        <f t="shared" si="0"/>
        <v>10</v>
      </c>
      <c r="M57" t="str">
        <f t="shared" si="1"/>
        <v>Tier 1</v>
      </c>
      <c r="N57" t="str">
        <f t="shared" si="2"/>
        <v>No</v>
      </c>
      <c r="O57" t="str">
        <f t="shared" si="3"/>
        <v>Post-Pandemic Boom</v>
      </c>
    </row>
    <row r="58" spans="1:15" x14ac:dyDescent="0.3">
      <c r="A58" t="s">
        <v>64</v>
      </c>
      <c r="B58" t="s">
        <v>86</v>
      </c>
      <c r="C58" t="s">
        <v>103</v>
      </c>
      <c r="D58">
        <v>2024</v>
      </c>
      <c r="E58" t="s">
        <v>109</v>
      </c>
      <c r="F58" s="3">
        <v>70</v>
      </c>
      <c r="G58" s="3">
        <v>15</v>
      </c>
      <c r="H58">
        <v>4.5</v>
      </c>
      <c r="I58" s="4" t="s">
        <v>200</v>
      </c>
      <c r="J58" t="s">
        <v>172</v>
      </c>
      <c r="K58" s="5">
        <v>15.56</v>
      </c>
      <c r="L58" s="3">
        <f t="shared" si="0"/>
        <v>-55</v>
      </c>
      <c r="M58" t="str">
        <f t="shared" si="1"/>
        <v>Tier 1</v>
      </c>
      <c r="N58" t="str">
        <f t="shared" si="2"/>
        <v>No</v>
      </c>
      <c r="O58" t="str">
        <f t="shared" si="3"/>
        <v>Post-Pandemic Boom</v>
      </c>
    </row>
    <row r="59" spans="1:15" x14ac:dyDescent="0.3">
      <c r="A59" t="s">
        <v>65</v>
      </c>
      <c r="B59" t="s">
        <v>101</v>
      </c>
      <c r="C59" t="s">
        <v>103</v>
      </c>
      <c r="D59">
        <v>2025</v>
      </c>
      <c r="E59" t="s">
        <v>142</v>
      </c>
      <c r="F59" s="3">
        <v>25</v>
      </c>
      <c r="G59" s="3">
        <v>303</v>
      </c>
      <c r="H59">
        <v>8.4</v>
      </c>
      <c r="I59" s="4" t="s">
        <v>194</v>
      </c>
      <c r="J59" t="s">
        <v>215</v>
      </c>
      <c r="K59" s="5">
        <v>2.98</v>
      </c>
      <c r="L59" s="3">
        <f t="shared" si="0"/>
        <v>278</v>
      </c>
      <c r="M59" t="str">
        <f t="shared" si="1"/>
        <v>Tier 3</v>
      </c>
      <c r="N59" t="str">
        <f t="shared" si="2"/>
        <v>No</v>
      </c>
      <c r="O59" t="str">
        <f t="shared" si="3"/>
        <v xml:space="preserve">Modern Multi-Market Era </v>
      </c>
    </row>
    <row r="60" spans="1:15" x14ac:dyDescent="0.3">
      <c r="A60" t="s">
        <v>66</v>
      </c>
      <c r="B60" t="s">
        <v>86</v>
      </c>
      <c r="C60" t="s">
        <v>103</v>
      </c>
      <c r="D60">
        <v>2025</v>
      </c>
      <c r="E60" t="s">
        <v>143</v>
      </c>
      <c r="F60" s="3">
        <v>18</v>
      </c>
      <c r="G60" s="3">
        <v>238</v>
      </c>
      <c r="H60">
        <v>8.1</v>
      </c>
      <c r="I60" s="4" t="s">
        <v>201</v>
      </c>
      <c r="J60" t="s">
        <v>215</v>
      </c>
      <c r="K60" s="5">
        <v>2.2200000000000002</v>
      </c>
      <c r="L60" s="3">
        <f t="shared" si="0"/>
        <v>220</v>
      </c>
      <c r="M60" t="str">
        <f t="shared" si="1"/>
        <v>Tier 1</v>
      </c>
      <c r="N60" t="str">
        <f t="shared" si="2"/>
        <v>No</v>
      </c>
      <c r="O60" t="str">
        <f t="shared" si="3"/>
        <v xml:space="preserve">Modern Multi-Market Era </v>
      </c>
    </row>
    <row r="61" spans="1:15" x14ac:dyDescent="0.3">
      <c r="A61" t="s">
        <v>67</v>
      </c>
      <c r="B61" t="s">
        <v>86</v>
      </c>
      <c r="C61" t="s">
        <v>103</v>
      </c>
      <c r="D61">
        <v>2025</v>
      </c>
      <c r="E61" t="s">
        <v>106</v>
      </c>
      <c r="F61" s="3">
        <v>90</v>
      </c>
      <c r="G61">
        <v>268.05</v>
      </c>
      <c r="H61">
        <v>7.4</v>
      </c>
      <c r="I61" s="4" t="s">
        <v>202</v>
      </c>
      <c r="J61" t="s">
        <v>169</v>
      </c>
      <c r="K61" s="5">
        <v>12.16</v>
      </c>
      <c r="L61" s="3">
        <f t="shared" si="0"/>
        <v>178.05</v>
      </c>
      <c r="M61" t="str">
        <f t="shared" si="1"/>
        <v>Tier 1</v>
      </c>
      <c r="N61" t="str">
        <f t="shared" si="2"/>
        <v>No</v>
      </c>
      <c r="O61" t="str">
        <f t="shared" si="3"/>
        <v xml:space="preserve">Modern Multi-Market Era </v>
      </c>
    </row>
    <row r="62" spans="1:15" x14ac:dyDescent="0.3">
      <c r="A62" t="s">
        <v>68</v>
      </c>
      <c r="B62" t="s">
        <v>84</v>
      </c>
      <c r="C62" t="s">
        <v>103</v>
      </c>
      <c r="D62">
        <v>2025</v>
      </c>
      <c r="E62" t="s">
        <v>128</v>
      </c>
      <c r="F62" s="3">
        <v>24</v>
      </c>
      <c r="G62">
        <v>82.18</v>
      </c>
      <c r="H62">
        <v>7.9</v>
      </c>
      <c r="I62" t="s">
        <v>203</v>
      </c>
      <c r="J62" t="s">
        <v>170</v>
      </c>
      <c r="K62" s="5">
        <v>3.04</v>
      </c>
      <c r="L62" s="3">
        <f t="shared" si="0"/>
        <v>58.180000000000007</v>
      </c>
      <c r="M62" t="str">
        <f t="shared" si="1"/>
        <v>Tier 3</v>
      </c>
      <c r="N62" t="str">
        <f t="shared" si="2"/>
        <v>No</v>
      </c>
      <c r="O62" t="str">
        <f t="shared" si="3"/>
        <v xml:space="preserve">Modern Multi-Market Era </v>
      </c>
    </row>
    <row r="63" spans="1:15" x14ac:dyDescent="0.3">
      <c r="A63" t="s">
        <v>69</v>
      </c>
      <c r="B63" t="s">
        <v>82</v>
      </c>
      <c r="C63" t="s">
        <v>103</v>
      </c>
      <c r="D63">
        <v>2025</v>
      </c>
      <c r="E63" t="s">
        <v>109</v>
      </c>
      <c r="F63" s="3">
        <v>22</v>
      </c>
      <c r="G63" s="3">
        <v>153</v>
      </c>
      <c r="H63" s="3">
        <v>8</v>
      </c>
      <c r="I63" s="4" t="s">
        <v>204</v>
      </c>
      <c r="J63" t="s">
        <v>170</v>
      </c>
      <c r="K63" s="5">
        <v>2.75</v>
      </c>
      <c r="L63" s="3">
        <f t="shared" si="0"/>
        <v>131</v>
      </c>
      <c r="M63" t="str">
        <f t="shared" si="1"/>
        <v>Tier 2</v>
      </c>
      <c r="N63" t="str">
        <f t="shared" si="2"/>
        <v>No</v>
      </c>
      <c r="O63" t="str">
        <f t="shared" si="3"/>
        <v xml:space="preserve">Modern Multi-Market Era </v>
      </c>
    </row>
    <row r="64" spans="1:15" x14ac:dyDescent="0.3">
      <c r="A64" t="s">
        <v>70</v>
      </c>
      <c r="B64" t="s">
        <v>93</v>
      </c>
      <c r="C64" t="s">
        <v>103</v>
      </c>
      <c r="D64">
        <v>2025</v>
      </c>
      <c r="E64" t="s">
        <v>118</v>
      </c>
      <c r="F64" s="3">
        <v>30</v>
      </c>
      <c r="G64" s="3">
        <v>85.2</v>
      </c>
      <c r="H64">
        <v>5.4</v>
      </c>
      <c r="I64" s="4" t="s">
        <v>205</v>
      </c>
      <c r="J64" t="s">
        <v>169</v>
      </c>
      <c r="K64" s="5">
        <v>5.56</v>
      </c>
      <c r="L64" s="3">
        <f t="shared" si="0"/>
        <v>55.2</v>
      </c>
      <c r="M64" t="str">
        <f t="shared" si="1"/>
        <v>Tier 1</v>
      </c>
      <c r="N64" t="str">
        <f t="shared" si="2"/>
        <v>No</v>
      </c>
      <c r="O64" t="str">
        <f t="shared" si="3"/>
        <v xml:space="preserve">Modern Multi-Market Era </v>
      </c>
    </row>
    <row r="65" spans="1:15" x14ac:dyDescent="0.3">
      <c r="A65" t="s">
        <v>71</v>
      </c>
      <c r="B65" t="s">
        <v>86</v>
      </c>
      <c r="C65" t="s">
        <v>103</v>
      </c>
      <c r="D65">
        <v>2025</v>
      </c>
      <c r="E65" t="s">
        <v>115</v>
      </c>
      <c r="F65" s="3">
        <v>35</v>
      </c>
      <c r="G65" s="3">
        <v>76</v>
      </c>
      <c r="H65">
        <v>5.8</v>
      </c>
      <c r="I65" s="4" t="s">
        <v>206</v>
      </c>
      <c r="J65" t="s">
        <v>169</v>
      </c>
      <c r="K65" s="5">
        <v>6.03</v>
      </c>
      <c r="L65" s="3">
        <f t="shared" si="0"/>
        <v>41</v>
      </c>
      <c r="M65" t="str">
        <f t="shared" si="1"/>
        <v>Tier 1</v>
      </c>
      <c r="N65" t="str">
        <f t="shared" si="2"/>
        <v>No</v>
      </c>
      <c r="O65" t="str">
        <f t="shared" si="3"/>
        <v xml:space="preserve">Modern Multi-Market Era </v>
      </c>
    </row>
    <row r="66" spans="1:15" x14ac:dyDescent="0.3">
      <c r="A66" t="s">
        <v>72</v>
      </c>
      <c r="B66" t="s">
        <v>93</v>
      </c>
      <c r="C66" t="s">
        <v>103</v>
      </c>
      <c r="D66">
        <v>2025</v>
      </c>
      <c r="E66" t="s">
        <v>118</v>
      </c>
      <c r="F66" s="3">
        <v>25</v>
      </c>
      <c r="G66" s="3">
        <v>12</v>
      </c>
      <c r="H66">
        <v>5.2</v>
      </c>
      <c r="I66" s="4" t="s">
        <v>207</v>
      </c>
      <c r="J66" t="s">
        <v>172</v>
      </c>
      <c r="K66" s="5">
        <v>4.8099999999999996</v>
      </c>
      <c r="L66" s="3">
        <f t="shared" si="0"/>
        <v>-13</v>
      </c>
      <c r="M66" t="str">
        <f t="shared" si="1"/>
        <v>Tier 1</v>
      </c>
      <c r="N66" t="str">
        <f t="shared" si="2"/>
        <v>No</v>
      </c>
      <c r="O66" t="str">
        <f t="shared" si="3"/>
        <v xml:space="preserve">Modern Multi-Market Era </v>
      </c>
    </row>
    <row r="67" spans="1:15" x14ac:dyDescent="0.3">
      <c r="A67" t="s">
        <v>73</v>
      </c>
      <c r="B67" t="s">
        <v>86</v>
      </c>
      <c r="C67" t="s">
        <v>103</v>
      </c>
      <c r="D67">
        <v>2026</v>
      </c>
      <c r="E67" t="s">
        <v>122</v>
      </c>
      <c r="F67" s="3">
        <v>35</v>
      </c>
      <c r="G67">
        <v>238.61</v>
      </c>
      <c r="H67">
        <v>8.5</v>
      </c>
      <c r="I67" s="4" t="s">
        <v>208</v>
      </c>
      <c r="J67" t="s">
        <v>170</v>
      </c>
      <c r="K67" s="5">
        <v>4.12</v>
      </c>
      <c r="L67" s="3">
        <f t="shared" ref="L67:L75" si="4">G67-F67</f>
        <v>203.61</v>
      </c>
      <c r="M67" t="str">
        <f t="shared" ref="M67:M75" si="5">IF(OR(B67="Mammootty", B67="Mohanlal", B67="Fahadh Faasil", B67="Dulquer Salmaan"), "Tier 1", IF(OR(B67="Tovino Thomas", B67="Prithviraj", B67="Nivin Pauly"), "Tier 2", "Tier 3"))</f>
        <v>Tier 1</v>
      </c>
      <c r="N67" t="str">
        <f t="shared" ref="N67:N75" si="6">IF(OR(A67="Sudani from Nigeria", A67="Kumbalangi Nights", A67="Uyare", A67="Ayyappanum Koshiyum", A67="Marakkar: Lion of the Arabian Sea", A67="Drishyam 2", A67="Minnal Murali", A67="2018", A67="Neru", A67="Manjummel Boys", A67="The Goat Life"), "Yes", "No")</f>
        <v>No</v>
      </c>
      <c r="O67" t="str">
        <f t="shared" ref="O67:O75" si="7">IF(D67&lt;=2020, "Pre-Pandemic Era", IF(D67&lt;=2024, "Post-Pandemic Boom", "Modern Multi-Market Era "))</f>
        <v xml:space="preserve">Modern Multi-Market Era </v>
      </c>
    </row>
    <row r="68" spans="1:15" x14ac:dyDescent="0.3">
      <c r="A68" t="s">
        <v>74</v>
      </c>
      <c r="B68" t="s">
        <v>97</v>
      </c>
      <c r="C68" t="s">
        <v>103</v>
      </c>
      <c r="D68">
        <v>2026</v>
      </c>
      <c r="E68" t="s">
        <v>124</v>
      </c>
      <c r="F68" s="3">
        <v>8</v>
      </c>
      <c r="G68">
        <v>234.5</v>
      </c>
      <c r="H68">
        <v>7.9</v>
      </c>
      <c r="I68" s="4" t="s">
        <v>209</v>
      </c>
      <c r="J68" t="s">
        <v>215</v>
      </c>
      <c r="K68" s="5">
        <v>1.01</v>
      </c>
      <c r="L68" s="3">
        <f t="shared" si="4"/>
        <v>226.5</v>
      </c>
      <c r="M68" t="str">
        <f t="shared" si="5"/>
        <v>Tier 3</v>
      </c>
      <c r="N68" t="str">
        <f t="shared" si="6"/>
        <v>No</v>
      </c>
      <c r="O68" t="str">
        <f t="shared" si="7"/>
        <v xml:space="preserve">Modern Multi-Market Era </v>
      </c>
    </row>
    <row r="69" spans="1:15" x14ac:dyDescent="0.3">
      <c r="A69" t="s">
        <v>75</v>
      </c>
      <c r="B69" t="s">
        <v>102</v>
      </c>
      <c r="C69" t="s">
        <v>103</v>
      </c>
      <c r="D69">
        <v>2026</v>
      </c>
      <c r="E69" t="s">
        <v>144</v>
      </c>
      <c r="F69" s="3">
        <v>15</v>
      </c>
      <c r="G69" s="3">
        <v>120.11</v>
      </c>
      <c r="H69">
        <v>7.7</v>
      </c>
      <c r="I69" s="4" t="s">
        <v>210</v>
      </c>
      <c r="J69" t="s">
        <v>170</v>
      </c>
      <c r="K69" s="5">
        <v>1.95</v>
      </c>
      <c r="L69" s="3">
        <f t="shared" si="4"/>
        <v>105.11</v>
      </c>
      <c r="M69" t="str">
        <f t="shared" si="5"/>
        <v>Tier 3</v>
      </c>
      <c r="N69" t="str">
        <f t="shared" si="6"/>
        <v>No</v>
      </c>
      <c r="O69" t="str">
        <f t="shared" si="7"/>
        <v xml:space="preserve">Modern Multi-Market Era </v>
      </c>
    </row>
    <row r="70" spans="1:15" x14ac:dyDescent="0.3">
      <c r="A70" t="s">
        <v>76</v>
      </c>
      <c r="B70" t="s">
        <v>96</v>
      </c>
      <c r="C70" t="s">
        <v>103</v>
      </c>
      <c r="D70">
        <v>2026</v>
      </c>
      <c r="E70" t="s">
        <v>117</v>
      </c>
      <c r="F70" s="3">
        <v>18</v>
      </c>
      <c r="G70" s="3">
        <v>71</v>
      </c>
      <c r="H70">
        <v>7.1</v>
      </c>
      <c r="I70" s="4" t="s">
        <v>181</v>
      </c>
      <c r="J70" t="s">
        <v>170</v>
      </c>
      <c r="K70" s="5">
        <v>2.54</v>
      </c>
      <c r="L70" s="3">
        <f t="shared" si="4"/>
        <v>53</v>
      </c>
      <c r="M70" t="str">
        <f t="shared" si="5"/>
        <v>Tier 2</v>
      </c>
      <c r="N70" t="str">
        <f t="shared" si="6"/>
        <v>No</v>
      </c>
      <c r="O70" t="str">
        <f t="shared" si="7"/>
        <v xml:space="preserve">Modern Multi-Market Era </v>
      </c>
    </row>
    <row r="71" spans="1:15" x14ac:dyDescent="0.3">
      <c r="A71" t="s">
        <v>77</v>
      </c>
      <c r="B71" t="s">
        <v>97</v>
      </c>
      <c r="C71" t="s">
        <v>103</v>
      </c>
      <c r="D71">
        <v>2026</v>
      </c>
      <c r="E71" t="s">
        <v>145</v>
      </c>
      <c r="F71" s="3">
        <v>10</v>
      </c>
      <c r="G71" s="3">
        <v>30</v>
      </c>
      <c r="H71">
        <v>8.1999999999999993</v>
      </c>
      <c r="I71" s="4" t="s">
        <v>173</v>
      </c>
      <c r="J71" t="s">
        <v>170</v>
      </c>
      <c r="K71" s="5">
        <v>1.22</v>
      </c>
      <c r="L71" s="3">
        <f t="shared" si="4"/>
        <v>20</v>
      </c>
      <c r="M71" t="str">
        <f t="shared" si="5"/>
        <v>Tier 3</v>
      </c>
      <c r="N71" t="str">
        <f t="shared" si="6"/>
        <v>No</v>
      </c>
      <c r="O71" t="str">
        <f t="shared" si="7"/>
        <v xml:space="preserve">Modern Multi-Market Era </v>
      </c>
    </row>
    <row r="72" spans="1:15" x14ac:dyDescent="0.3">
      <c r="A72" t="s">
        <v>78</v>
      </c>
      <c r="B72" t="s">
        <v>93</v>
      </c>
      <c r="C72" t="s">
        <v>103</v>
      </c>
      <c r="D72">
        <v>2026</v>
      </c>
      <c r="E72" t="s">
        <v>146</v>
      </c>
      <c r="F72" s="3">
        <v>140</v>
      </c>
      <c r="G72" s="3">
        <v>79.66</v>
      </c>
      <c r="H72">
        <v>5.8</v>
      </c>
      <c r="I72" s="4" t="s">
        <v>211</v>
      </c>
      <c r="J72" t="s">
        <v>172</v>
      </c>
      <c r="K72" s="5">
        <v>24.14</v>
      </c>
      <c r="L72" s="3">
        <f t="shared" si="4"/>
        <v>-60.34</v>
      </c>
      <c r="M72" t="str">
        <f t="shared" si="5"/>
        <v>Tier 1</v>
      </c>
      <c r="N72" t="str">
        <f t="shared" si="6"/>
        <v>No</v>
      </c>
      <c r="O72" t="str">
        <f t="shared" si="7"/>
        <v xml:space="preserve">Modern Multi-Market Era </v>
      </c>
    </row>
    <row r="73" spans="1:15" x14ac:dyDescent="0.3">
      <c r="A73" t="s">
        <v>79</v>
      </c>
      <c r="B73" t="s">
        <v>96</v>
      </c>
      <c r="C73" t="s">
        <v>103</v>
      </c>
      <c r="D73">
        <v>2026</v>
      </c>
      <c r="E73" t="s">
        <v>119</v>
      </c>
      <c r="F73" s="3">
        <v>40</v>
      </c>
      <c r="G73" s="3">
        <v>15</v>
      </c>
      <c r="H73">
        <v>5.2</v>
      </c>
      <c r="I73" s="4" t="s">
        <v>167</v>
      </c>
      <c r="J73" t="s">
        <v>172</v>
      </c>
      <c r="K73" s="5">
        <v>7.69</v>
      </c>
      <c r="L73" s="3">
        <f t="shared" si="4"/>
        <v>-25</v>
      </c>
      <c r="M73" t="str">
        <f t="shared" si="5"/>
        <v>Tier 2</v>
      </c>
      <c r="N73" t="str">
        <f t="shared" si="6"/>
        <v>No</v>
      </c>
      <c r="O73" t="str">
        <f t="shared" si="7"/>
        <v xml:space="preserve">Modern Multi-Market Era </v>
      </c>
    </row>
    <row r="74" spans="1:15" x14ac:dyDescent="0.3">
      <c r="A74" t="s">
        <v>80</v>
      </c>
      <c r="B74" t="s">
        <v>100</v>
      </c>
      <c r="C74" t="s">
        <v>103</v>
      </c>
      <c r="D74">
        <v>2026</v>
      </c>
      <c r="E74" t="s">
        <v>105</v>
      </c>
      <c r="F74" s="3">
        <v>12</v>
      </c>
      <c r="G74" s="3">
        <v>17</v>
      </c>
      <c r="H74">
        <v>7.8</v>
      </c>
      <c r="I74" s="4" t="s">
        <v>212</v>
      </c>
      <c r="J74" t="s">
        <v>171</v>
      </c>
      <c r="K74" s="5">
        <v>1.54</v>
      </c>
      <c r="L74" s="3">
        <f t="shared" si="4"/>
        <v>5</v>
      </c>
      <c r="M74" t="str">
        <f t="shared" si="5"/>
        <v>Tier 3</v>
      </c>
      <c r="N74" t="str">
        <f t="shared" si="6"/>
        <v>No</v>
      </c>
      <c r="O74" t="str">
        <f t="shared" si="7"/>
        <v xml:space="preserve">Modern Multi-Market Era </v>
      </c>
    </row>
    <row r="75" spans="1:15" x14ac:dyDescent="0.3">
      <c r="A75" t="s">
        <v>81</v>
      </c>
      <c r="B75" t="s">
        <v>97</v>
      </c>
      <c r="C75" t="s">
        <v>103</v>
      </c>
      <c r="D75">
        <v>2026</v>
      </c>
      <c r="E75" t="s">
        <v>115</v>
      </c>
      <c r="F75" s="3">
        <v>25</v>
      </c>
      <c r="G75" s="3">
        <v>23</v>
      </c>
      <c r="H75" s="3">
        <v>6</v>
      </c>
      <c r="I75" s="4" t="s">
        <v>213</v>
      </c>
      <c r="J75" t="s">
        <v>172</v>
      </c>
      <c r="K75" s="5">
        <v>4.17</v>
      </c>
      <c r="L75" s="3">
        <f t="shared" si="4"/>
        <v>-2</v>
      </c>
      <c r="M75" t="str">
        <f t="shared" si="5"/>
        <v>Tier 3</v>
      </c>
      <c r="N75" t="str">
        <f t="shared" si="6"/>
        <v>No</v>
      </c>
      <c r="O75" t="str">
        <f t="shared" si="7"/>
        <v xml:space="preserve">Modern Multi-Market Era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utkarshsingh774@outlook.com</dc:creator>
  <cp:lastModifiedBy>utkarshsingh774@outlook.com</cp:lastModifiedBy>
  <dcterms:created xsi:type="dcterms:W3CDTF">2026-07-10T18:15:09Z</dcterms:created>
  <dcterms:modified xsi:type="dcterms:W3CDTF">2026-07-11T07:24:39Z</dcterms:modified>
</cp:coreProperties>
</file>